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e234df658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Pure" sheetId="1" r:id="R5ca3c86174f94c5f"/>
    <x:sheet xmlns:r="http://schemas.openxmlformats.org/officeDocument/2006/relationships" name="Dataset_Model" sheetId="2" r:id="R33d83a68ae864d9a"/>
    <x:sheet xmlns:r="http://schemas.openxmlformats.org/officeDocument/2006/relationships" name="Batas_Kategori" sheetId="3" r:id="R0aaa50a330bf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327436e912423b" /><Relationship Type="http://schemas.openxmlformats.org/officeDocument/2006/relationships/theme" Target="/xl/theme/theme1.xml" Id="Rf84201bf71d34814" /><Relationship Type="http://schemas.openxmlformats.org/officeDocument/2006/relationships/sharedStrings" Target="/xl/sharedStrings.xml" Id="R9a8b6f698f174d4e" /><Relationship Type="http://schemas.openxmlformats.org/officeDocument/2006/relationships/worksheet" Target="/xl/worksheets/sheet1.xml" Id="R5ca3c86174f94c5f" /><Relationship Type="http://schemas.openxmlformats.org/officeDocument/2006/relationships/worksheet" Target="/xl/worksheets/sheet2.xml" Id="R33d83a68ae864d9a" /><Relationship Type="http://schemas.openxmlformats.org/officeDocument/2006/relationships/worksheet" Target="/xl/worksheets/sheet3.xml" Id="R0aaa50a330bf4556" /></Relationships>
</file>

<file path=xl/tables/table1.xml><?xml version="1.0" encoding="utf-8"?>
<x:table xmlns:x="http://schemas.openxmlformats.org/spreadsheetml/2006/main" id="1" name="TabelDatasetPure" displayName="TabelDatasetPure" ref="A1:H53" headerRowCount="1">
  <x:tableColumns count="8">
    <x:tableColumn id="1" name="tahun"/>
    <x:tableColumn id="2" name="kabupaten_kota"/>
    <x:tableColumn id="3" name="mobil_penumpang"/>
    <x:tableColumn id="4" name="bus"/>
    <x:tableColumn id="5" name="truk"/>
    <x:tableColumn id="6" name="sepeda_motor"/>
    <x:tableColumn id="7" name="jumlah_kendaraan"/>
    <x:tableColumn id="8" name="status_data"/>
  </x:tableColumns>
  <x:tableStyleInfo name="TableStyleMedium2" showRowStripes="1"/>
</x:table>
</file>

<file path=xl/tables/table2.xml><?xml version="1.0" encoding="utf-8"?>
<x:table xmlns:x="http://schemas.openxmlformats.org/spreadsheetml/2006/main" id="2" name="TabelDatasetModel" displayName="TabelDatasetModel" ref="A1:I53" headerRowCount="1">
  <x:tableColumns count="9">
    <x:tableColumn id="1" name="tahun"/>
    <x:tableColumn id="2" name="kabupaten_kota"/>
    <x:tableColumn id="3" name="mobil_penumpang"/>
    <x:tableColumn id="4" name="bus"/>
    <x:tableColumn id="5" name="truk"/>
    <x:tableColumn id="6" name="sepeda_motor"/>
    <x:tableColumn id="7" name="jumlah_kendaraan"/>
    <x:tableColumn id="8" name="status_data"/>
    <x:tableColumn id="9" name="kategori_jumlah_kendaraan"/>
  </x:tableColumns>
  <x:tableStyleInfo name="TableStyleMedium2" showRowStripes="1"/>
</x:table>
</file>

<file path=xl/tables/table3.xml><?xml version="1.0" encoding="utf-8"?>
<x:table xmlns:x="http://schemas.openxmlformats.org/spreadsheetml/2006/main" id="3" name="TabelBatasKategori" displayName="TabelBatasKategori" ref="A1:G10" headerRowCount="1">
  <x:tableColumns count="7">
    <x:tableColumn id="1" name="Kategori"/>
    <x:tableColumn id="2" name="Batas Jumlah Kendaraan (unit)"/>
    <x:tableColumn id="3" name="Aturan"/>
    <x:tableColumn id="4" name="Jumlah Data"/>
    <x:tableColumn id="5" name="Column5"/>
    <x:tableColumn id="6" name="Keterangan"/>
    <x:tableColumn id="7" name="Nila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7f9e133de846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8fb4248cae47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93bccdc94b4fc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10" hidden="0" customWidth="1"/>
    <x:col min="5" max="5" width="10" hidden="0" customWidth="1"/>
    <x:col min="6" max="6" width="18" hidden="0" customWidth="1"/>
    <x:col min="7" max="7" width="18" hidden="0" customWidth="1"/>
    <x:col min="8" max="8" width="14" hidden="0" customWidth="1"/>
  </x:cols>
  <x:sheetData>
    <x:row r="1">
      <x:c r="A1" s="6" t="str">
        <x:v>tahun</x:v>
      </x:c>
      <x:c r="B1" s="6" t="str">
        <x:v>kabupaten_kota</x:v>
      </x:c>
      <x:c r="C1" s="6" t="str">
        <x:v>mobil_penumpang</x:v>
      </x:c>
      <x:c r="D1" s="6" t="str">
        <x:v>bus</x:v>
      </x:c>
      <x:c r="E1" s="6" t="str">
        <x:v>truk</x:v>
      </x:c>
      <x:c r="F1" s="6" t="str">
        <x:v>sepeda_motor</x:v>
      </x:c>
      <x:c r="G1" s="6" t="str">
        <x:v>jumlah_kendaraan</x:v>
      </x:c>
      <x:c r="H1" s="6" t="str">
        <x:v>status_data</x:v>
      </x:c>
    </x:row>
    <x:row r="2">
      <x:c r="A2" s="22" t="n">
        <x:v>2022</x:v>
      </x:c>
      <x:c r="B2" s="23" t="str">
        <x:v>Banggai Kepulauan</x:v>
      </x:c>
      <x:c r="C2" s="24" t="n">
        <x:v>833</x:v>
      </x:c>
      <x:c r="D2" s="24" t="n">
        <x:v>10</x:v>
      </x:c>
      <x:c r="E2" s="24" t="n">
        <x:v>1421</x:v>
      </x:c>
      <x:c r="F2" s="24" t="n">
        <x:v>33033</x:v>
      </x:c>
      <x:c r="G2" s="24" t="n">
        <x:v>35297</x:v>
      </x:c>
      <x:c r="H2" s="23" t="str">
        <x:v>Final</x:v>
      </x:c>
    </x:row>
    <x:row r="3">
      <x:c r="A3" s="22" t="n">
        <x:v>2022</x:v>
      </x:c>
      <x:c r="B3" s="23" t="str">
        <x:v>Banggai</x:v>
      </x:c>
      <x:c r="C3" s="24" t="n">
        <x:v>7212</x:v>
      </x:c>
      <x:c r="D3" s="24" t="n">
        <x:v>159</x:v>
      </x:c>
      <x:c r="E3" s="24" t="n">
        <x:v>4652</x:v>
      </x:c>
      <x:c r="F3" s="24" t="n">
        <x:v>207031</x:v>
      </x:c>
      <x:c r="G3" s="24" t="n">
        <x:v>219054</x:v>
      </x:c>
      <x:c r="H3" s="23" t="str">
        <x:v>Final</x:v>
      </x:c>
    </x:row>
    <x:row r="4">
      <x:c r="A4" s="22" t="n">
        <x:v>2022</x:v>
      </x:c>
      <x:c r="B4" s="23" t="str">
        <x:v>Morowali</x:v>
      </x:c>
      <x:c r="C4" s="24" t="n">
        <x:v>1520</x:v>
      </x:c>
      <x:c r="D4" s="24"/>
      <x:c r="E4" s="24" t="n">
        <x:v>711</x:v>
      </x:c>
      <x:c r="F4" s="24" t="n">
        <x:v>12500</x:v>
      </x:c>
      <x:c r="G4" s="24" t="n">
        <x:v>14731</x:v>
      </x:c>
      <x:c r="H4" s="23" t="str">
        <x:v>Final</x:v>
      </x:c>
    </x:row>
    <x:row r="5">
      <x:c r="A5" s="22" t="n">
        <x:v>2022</x:v>
      </x:c>
      <x:c r="B5" s="23" t="str">
        <x:v>Poso</x:v>
      </x:c>
      <x:c r="C5" s="24" t="n">
        <x:v>3282</x:v>
      </x:c>
      <x:c r="D5" s="24" t="n">
        <x:v>12</x:v>
      </x:c>
      <x:c r="E5" s="24" t="n">
        <x:v>1797</x:v>
      </x:c>
      <x:c r="F5" s="24" t="n">
        <x:v>31627</x:v>
      </x:c>
      <x:c r="G5" s="24" t="n">
        <x:v>36718</x:v>
      </x:c>
      <x:c r="H5" s="23" t="str">
        <x:v>Final</x:v>
      </x:c>
    </x:row>
    <x:row r="6">
      <x:c r="A6" s="22" t="n">
        <x:v>2022</x:v>
      </x:c>
      <x:c r="B6" s="23" t="str">
        <x:v>Donggala</x:v>
      </x:c>
      <x:c r="C6" s="24"/>
      <x:c r="D6" s="24"/>
      <x:c r="E6" s="24"/>
      <x:c r="F6" s="24"/>
      <x:c r="G6" s="24"/>
      <x:c r="H6" s="23" t="str">
        <x:v>Final</x:v>
      </x:c>
    </x:row>
    <x:row r="7">
      <x:c r="A7" s="22" t="n">
        <x:v>2022</x:v>
      </x:c>
      <x:c r="B7" s="23" t="str">
        <x:v>Toli-Toli</x:v>
      </x:c>
      <x:c r="C7" s="24" t="n">
        <x:v>5757</x:v>
      </x:c>
      <x:c r="D7" s="24" t="n">
        <x:v>519</x:v>
      </x:c>
      <x:c r="E7" s="24" t="n">
        <x:v>2046</x:v>
      </x:c>
      <x:c r="F7" s="24" t="n">
        <x:v>79639</x:v>
      </x:c>
      <x:c r="G7" s="24" t="n">
        <x:v>87961</x:v>
      </x:c>
      <x:c r="H7" s="23" t="str">
        <x:v>Final</x:v>
      </x:c>
    </x:row>
    <x:row r="8">
      <x:c r="A8" s="22" t="n">
        <x:v>2022</x:v>
      </x:c>
      <x:c r="B8" s="23" t="str">
        <x:v>Buol</x:v>
      </x:c>
      <x:c r="C8" s="24" t="n">
        <x:v>1585</x:v>
      </x:c>
      <x:c r="D8" s="24" t="n">
        <x:v>52</x:v>
      </x:c>
      <x:c r="E8" s="24" t="n">
        <x:v>966</x:v>
      </x:c>
      <x:c r="F8" s="24" t="n">
        <x:v>41791</x:v>
      </x:c>
      <x:c r="G8" s="24" t="n">
        <x:v>44394</x:v>
      </x:c>
      <x:c r="H8" s="23" t="str">
        <x:v>Final</x:v>
      </x:c>
    </x:row>
    <x:row r="9">
      <x:c r="A9" s="22" t="n">
        <x:v>2022</x:v>
      </x:c>
      <x:c r="B9" s="23" t="str">
        <x:v>Parigi Moutong</x:v>
      </x:c>
      <x:c r="C9" s="24"/>
      <x:c r="D9" s="24"/>
      <x:c r="E9" s="24"/>
      <x:c r="F9" s="24"/>
      <x:c r="G9" s="24"/>
      <x:c r="H9" s="23" t="str">
        <x:v>Final</x:v>
      </x:c>
    </x:row>
    <x:row r="10">
      <x:c r="A10" s="22" t="n">
        <x:v>2022</x:v>
      </x:c>
      <x:c r="B10" s="23" t="str">
        <x:v>Tojo Una-Una</x:v>
      </x:c>
      <x:c r="C10" s="24" t="n">
        <x:v>1727</x:v>
      </x:c>
      <x:c r="D10" s="24" t="n">
        <x:v>89</x:v>
      </x:c>
      <x:c r="E10" s="24" t="n">
        <x:v>1215</x:v>
      </x:c>
      <x:c r="F10" s="24" t="n">
        <x:v>40210</x:v>
      </x:c>
      <x:c r="G10" s="24" t="n">
        <x:v>43241</x:v>
      </x:c>
      <x:c r="H10" s="23" t="str">
        <x:v>Final</x:v>
      </x:c>
    </x:row>
    <x:row r="11">
      <x:c r="A11" s="22" t="n">
        <x:v>2022</x:v>
      </x:c>
      <x:c r="B11" s="23" t="str">
        <x:v>Sigi</x:v>
      </x:c>
      <x:c r="C11" s="24"/>
      <x:c r="D11" s="24"/>
      <x:c r="E11" s="24"/>
      <x:c r="F11" s="24"/>
      <x:c r="G11" s="24"/>
      <x:c r="H11" s="23" t="str">
        <x:v>Final</x:v>
      </x:c>
    </x:row>
    <x:row r="12">
      <x:c r="A12" s="22" t="n">
        <x:v>2022</x:v>
      </x:c>
      <x:c r="B12" s="23" t="str">
        <x:v>Banggai Laut</x:v>
      </x:c>
      <x:c r="C12" s="24"/>
      <x:c r="D12" s="24"/>
      <x:c r="E12" s="24"/>
      <x:c r="F12" s="24"/>
      <x:c r="G12" s="24"/>
      <x:c r="H12" s="23" t="str">
        <x:v>Final</x:v>
      </x:c>
    </x:row>
    <x:row r="13">
      <x:c r="A13" s="22" t="n">
        <x:v>2022</x:v>
      </x:c>
      <x:c r="B13" s="23" t="str">
        <x:v>Morowali Utara</x:v>
      </x:c>
      <x:c r="C13" s="24" t="n">
        <x:v>4304</x:v>
      </x:c>
      <x:c r="D13" s="24" t="n">
        <x:v>56</x:v>
      </x:c>
      <x:c r="E13" s="24" t="n">
        <x:v>2742</x:v>
      </x:c>
      <x:c r="F13" s="24" t="n">
        <x:v>80781</x:v>
      </x:c>
      <x:c r="G13" s="24" t="n">
        <x:v>87883</x:v>
      </x:c>
      <x:c r="H13" s="23" t="str">
        <x:v>Final</x:v>
      </x:c>
    </x:row>
    <x:row r="14">
      <x:c r="A14" s="22" t="n">
        <x:v>2022</x:v>
      </x:c>
      <x:c r="B14" s="23" t="str">
        <x:v>Kota Palu</x:v>
      </x:c>
      <x:c r="C14" s="24" t="n">
        <x:v>34718</x:v>
      </x:c>
      <x:c r="D14" s="24" t="n">
        <x:v>617</x:v>
      </x:c>
      <x:c r="E14" s="24" t="n">
        <x:v>16048</x:v>
      </x:c>
      <x:c r="F14" s="24" t="n">
        <x:v>272554</x:v>
      </x:c>
      <x:c r="G14" s="24" t="n">
        <x:v>323937</x:v>
      </x:c>
      <x:c r="H14" s="23" t="str">
        <x:v>Final</x:v>
      </x:c>
    </x:row>
    <x:row r="15">
      <x:c r="A15" s="22" t="n">
        <x:v>2023</x:v>
      </x:c>
      <x:c r="B15" s="23" t="str">
        <x:v>Banggai Kepulauan</x:v>
      </x:c>
      <x:c r="C15" s="24" t="n">
        <x:v>839</x:v>
      </x:c>
      <x:c r="D15" s="24" t="n">
        <x:v>10</x:v>
      </x:c>
      <x:c r="E15" s="24" t="n">
        <x:v>1444</x:v>
      </x:c>
      <x:c r="F15" s="24" t="n">
        <x:v>33195</x:v>
      </x:c>
      <x:c r="G15" s="24" t="n">
        <x:v>35488</x:v>
      </x:c>
      <x:c r="H15" s="23" t="str">
        <x:v>Final</x:v>
      </x:c>
    </x:row>
    <x:row r="16">
      <x:c r="A16" s="22" t="n">
        <x:v>2023</x:v>
      </x:c>
      <x:c r="B16" s="23" t="str">
        <x:v>Banggai</x:v>
      </x:c>
      <x:c r="C16" s="24" t="n">
        <x:v>7346</x:v>
      </x:c>
      <x:c r="D16" s="24" t="n">
        <x:v>159</x:v>
      </x:c>
      <x:c r="E16" s="24" t="n">
        <x:v>4610</x:v>
      </x:c>
      <x:c r="F16" s="24" t="n">
        <x:v>207403</x:v>
      </x:c>
      <x:c r="G16" s="24" t="n">
        <x:v>219518</x:v>
      </x:c>
      <x:c r="H16" s="23" t="str">
        <x:v>Final</x:v>
      </x:c>
    </x:row>
    <x:row r="17">
      <x:c r="A17" s="22" t="n">
        <x:v>2023</x:v>
      </x:c>
      <x:c r="B17" s="23" t="str">
        <x:v>Morowali</x:v>
      </x:c>
      <x:c r="C17" s="24" t="n">
        <x:v>2554</x:v>
      </x:c>
      <x:c r="D17" s="24" t="n">
        <x:v>10</x:v>
      </x:c>
      <x:c r="E17" s="24" t="n">
        <x:v>1436</x:v>
      </x:c>
      <x:c r="F17" s="24" t="n">
        <x:v>20779</x:v>
      </x:c>
      <x:c r="G17" s="24" t="n">
        <x:v>24779</x:v>
      </x:c>
      <x:c r="H17" s="23" t="str">
        <x:v>Final</x:v>
      </x:c>
    </x:row>
    <x:row r="18">
      <x:c r="A18" s="22" t="n">
        <x:v>2023</x:v>
      </x:c>
      <x:c r="B18" s="23" t="str">
        <x:v>Poso</x:v>
      </x:c>
      <x:c r="C18" s="24" t="n">
        <x:v>3736</x:v>
      </x:c>
      <x:c r="D18" s="24" t="n">
        <x:v>13</x:v>
      </x:c>
      <x:c r="E18" s="24" t="n">
        <x:v>3936</x:v>
      </x:c>
      <x:c r="F18" s="24" t="n">
        <x:v>322982</x:v>
      </x:c>
      <x:c r="G18" s="24" t="n">
        <x:v>330667</x:v>
      </x:c>
      <x:c r="H18" s="23" t="str">
        <x:v>Final</x:v>
      </x:c>
    </x:row>
    <x:row r="19">
      <x:c r="A19" s="22" t="n">
        <x:v>2023</x:v>
      </x:c>
      <x:c r="B19" s="23" t="str">
        <x:v>Donggala</x:v>
      </x:c>
      <x:c r="C19" s="24" t="n">
        <x:v>36</x:v>
      </x:c>
      <x:c r="D19" s="24"/>
      <x:c r="E19" s="24" t="n">
        <x:v>7</x:v>
      </x:c>
      <x:c r="F19" s="24" t="n">
        <x:v>311</x:v>
      </x:c>
      <x:c r="G19" s="24" t="n">
        <x:v>354</x:v>
      </x:c>
      <x:c r="H19" s="23" t="str">
        <x:v>Final</x:v>
      </x:c>
    </x:row>
    <x:row r="20">
      <x:c r="A20" s="22" t="n">
        <x:v>2023</x:v>
      </x:c>
      <x:c r="B20" s="23" t="str">
        <x:v>Toli-Toli</x:v>
      </x:c>
      <x:c r="C20" s="24" t="n">
        <x:v>4093</x:v>
      </x:c>
      <x:c r="D20" s="24" t="n">
        <x:v>517</x:v>
      </x:c>
      <x:c r="E20" s="24" t="n">
        <x:v>2128</x:v>
      </x:c>
      <x:c r="F20" s="24" t="n">
        <x:v>166768</x:v>
      </x:c>
      <x:c r="G20" s="24" t="n">
        <x:v>173506</x:v>
      </x:c>
      <x:c r="H20" s="23" t="str">
        <x:v>Final</x:v>
      </x:c>
    </x:row>
    <x:row r="21">
      <x:c r="A21" s="22" t="n">
        <x:v>2023</x:v>
      </x:c>
      <x:c r="B21" s="23" t="str">
        <x:v>Buol</x:v>
      </x:c>
      <x:c r="C21" s="24" t="n">
        <x:v>1702</x:v>
      </x:c>
      <x:c r="D21" s="24" t="n">
        <x:v>52</x:v>
      </x:c>
      <x:c r="E21" s="24" t="n">
        <x:v>1025</x:v>
      </x:c>
      <x:c r="F21" s="24" t="n">
        <x:v>45104</x:v>
      </x:c>
      <x:c r="G21" s="24" t="n">
        <x:v>47883</x:v>
      </x:c>
      <x:c r="H21" s="23" t="str">
        <x:v>Final</x:v>
      </x:c>
    </x:row>
    <x:row r="22">
      <x:c r="A22" s="22" t="n">
        <x:v>2023</x:v>
      </x:c>
      <x:c r="B22" s="23" t="str">
        <x:v>Parigi Moutong</x:v>
      </x:c>
      <x:c r="C22" s="24" t="n">
        <x:v>55</x:v>
      </x:c>
      <x:c r="D22" s="24"/>
      <x:c r="E22" s="24" t="n">
        <x:v>50</x:v>
      </x:c>
      <x:c r="F22" s="24" t="n">
        <x:v>545</x:v>
      </x:c>
      <x:c r="G22" s="24" t="n">
        <x:v>650</x:v>
      </x:c>
      <x:c r="H22" s="23" t="str">
        <x:v>Final</x:v>
      </x:c>
    </x:row>
    <x:row r="23">
      <x:c r="A23" s="22" t="n">
        <x:v>2023</x:v>
      </x:c>
      <x:c r="B23" s="23" t="str">
        <x:v>Tojo Una-Una</x:v>
      </x:c>
      <x:c r="C23" s="24" t="n">
        <x:v>1905</x:v>
      </x:c>
      <x:c r="D23" s="24" t="n">
        <x:v>89</x:v>
      </x:c>
      <x:c r="E23" s="24" t="n">
        <x:v>1338</x:v>
      </x:c>
      <x:c r="F23" s="24" t="n">
        <x:v>42338</x:v>
      </x:c>
      <x:c r="G23" s="24" t="n">
        <x:v>45667</x:v>
      </x:c>
      <x:c r="H23" s="23" t="str">
        <x:v>Final</x:v>
      </x:c>
    </x:row>
    <x:row r="24">
      <x:c r="A24" s="22" t="n">
        <x:v>2023</x:v>
      </x:c>
      <x:c r="B24" s="23" t="str">
        <x:v>Sigi</x:v>
      </x:c>
      <x:c r="C24" s="24" t="n">
        <x:v>37</x:v>
      </x:c>
      <x:c r="D24" s="24"/>
      <x:c r="E24" s="24" t="n">
        <x:v>30</x:v>
      </x:c>
      <x:c r="F24" s="24" t="n">
        <x:v>399</x:v>
      </x:c>
      <x:c r="G24" s="24" t="n">
        <x:v>466</x:v>
      </x:c>
      <x:c r="H24" s="23" t="str">
        <x:v>Final</x:v>
      </x:c>
    </x:row>
    <x:row r="25">
      <x:c r="A25" s="22" t="n">
        <x:v>2023</x:v>
      </x:c>
      <x:c r="B25" s="23" t="str">
        <x:v>Banggai Laut</x:v>
      </x:c>
      <x:c r="C25" s="24"/>
      <x:c r="D25" s="24"/>
      <x:c r="E25" s="24"/>
      <x:c r="F25" s="24"/>
      <x:c r="G25" s="24"/>
      <x:c r="H25" s="23" t="str">
        <x:v>Final</x:v>
      </x:c>
    </x:row>
    <x:row r="26">
      <x:c r="A26" s="22" t="n">
        <x:v>2023</x:v>
      </x:c>
      <x:c r="B26" s="23" t="str">
        <x:v>Morowali Utara</x:v>
      </x:c>
      <x:c r="C26" s="24" t="n">
        <x:v>4786</x:v>
      </x:c>
      <x:c r="D26" s="24" t="n">
        <x:v>58</x:v>
      </x:c>
      <x:c r="E26" s="24" t="n">
        <x:v>3032</x:v>
      </x:c>
      <x:c r="F26" s="24" t="n">
        <x:v>85663</x:v>
      </x:c>
      <x:c r="G26" s="24" t="n">
        <x:v>93539</x:v>
      </x:c>
      <x:c r="H26" s="23" t="str">
        <x:v>Final</x:v>
      </x:c>
    </x:row>
    <x:row r="27">
      <x:c r="A27" s="22" t="n">
        <x:v>2023</x:v>
      </x:c>
      <x:c r="B27" s="23" t="str">
        <x:v>Kota Palu</x:v>
      </x:c>
      <x:c r="C27" s="24" t="n">
        <x:v>40771</x:v>
      </x:c>
      <x:c r="D27" s="24" t="n">
        <x:v>787</x:v>
      </x:c>
      <x:c r="E27" s="24" t="n">
        <x:v>13339</x:v>
      </x:c>
      <x:c r="F27" s="24" t="n">
        <x:v>235796</x:v>
      </x:c>
      <x:c r="G27" s="24" t="n">
        <x:v>290693</x:v>
      </x:c>
      <x:c r="H27" s="23" t="str">
        <x:v>Final</x:v>
      </x:c>
    </x:row>
    <x:row r="28">
      <x:c r="A28" s="22" t="n">
        <x:v>2024</x:v>
      </x:c>
      <x:c r="B28" s="23" t="str">
        <x:v>Banggai Kepulauan</x:v>
      </x:c>
      <x:c r="C28" s="24" t="n">
        <x:v>923</x:v>
      </x:c>
      <x:c r="D28" s="24" t="n">
        <x:v>10</x:v>
      </x:c>
      <x:c r="E28" s="24" t="n">
        <x:v>1545</x:v>
      </x:c>
      <x:c r="F28" s="24" t="n">
        <x:v>35513</x:v>
      </x:c>
      <x:c r="G28" s="24" t="n">
        <x:v>37991</x:v>
      </x:c>
      <x:c r="H28" s="23" t="str">
        <x:v>Final</x:v>
      </x:c>
    </x:row>
    <x:row r="29">
      <x:c r="A29" s="22" t="n">
        <x:v>2024</x:v>
      </x:c>
      <x:c r="B29" s="23" t="str">
        <x:v>Banggai</x:v>
      </x:c>
      <x:c r="C29" s="24" t="n">
        <x:v>7603</x:v>
      </x:c>
      <x:c r="D29" s="24" t="n">
        <x:v>159</x:v>
      </x:c>
      <x:c r="E29" s="24" t="n">
        <x:v>4734</x:v>
      </x:c>
      <x:c r="F29" s="24" t="n">
        <x:v>210931</x:v>
      </x:c>
      <x:c r="G29" s="24" t="n">
        <x:v>223427</x:v>
      </x:c>
      <x:c r="H29" s="23" t="str">
        <x:v>Final</x:v>
      </x:c>
    </x:row>
    <x:row r="30">
      <x:c r="A30" s="22" t="n">
        <x:v>2024</x:v>
      </x:c>
      <x:c r="B30" s="23" t="str">
        <x:v>Morowali</x:v>
      </x:c>
      <x:c r="C30" s="24" t="n">
        <x:v>3770</x:v>
      </x:c>
      <x:c r="D30" s="24" t="n">
        <x:v>18</x:v>
      </x:c>
      <x:c r="E30" s="24" t="n">
        <x:v>1874</x:v>
      </x:c>
      <x:c r="F30" s="24" t="n">
        <x:v>29257</x:v>
      </x:c>
      <x:c r="G30" s="24" t="n">
        <x:v>34919</x:v>
      </x:c>
      <x:c r="H30" s="23" t="str">
        <x:v>Final</x:v>
      </x:c>
    </x:row>
    <x:row r="31">
      <x:c r="A31" s="22" t="n">
        <x:v>2024</x:v>
      </x:c>
      <x:c r="B31" s="23" t="str">
        <x:v>Poso</x:v>
      </x:c>
      <x:c r="C31" s="24" t="n">
        <x:v>4367</x:v>
      </x:c>
      <x:c r="D31" s="24" t="n">
        <x:v>14</x:v>
      </x:c>
      <x:c r="E31" s="24" t="n">
        <x:v>4257</x:v>
      </x:c>
      <x:c r="F31" s="24" t="n">
        <x:v>330230</x:v>
      </x:c>
      <x:c r="G31" s="24" t="n">
        <x:v>338868</x:v>
      </x:c>
      <x:c r="H31" s="23" t="str">
        <x:v>Final</x:v>
      </x:c>
    </x:row>
    <x:row r="32">
      <x:c r="A32" s="22" t="n">
        <x:v>2024</x:v>
      </x:c>
      <x:c r="B32" s="23" t="str">
        <x:v>Donggala</x:v>
      </x:c>
      <x:c r="C32" s="24" t="n">
        <x:v>4367</x:v>
      </x:c>
      <x:c r="D32" s="24" t="n">
        <x:v>14</x:v>
      </x:c>
      <x:c r="E32" s="24" t="n">
        <x:v>4257</x:v>
      </x:c>
      <x:c r="F32" s="24" t="n">
        <x:v>330230</x:v>
      </x:c>
      <x:c r="G32" s="24" t="n">
        <x:v>338868</x:v>
      </x:c>
      <x:c r="H32" s="23" t="str">
        <x:v>Final</x:v>
      </x:c>
    </x:row>
    <x:row r="33">
      <x:c r="A33" s="22" t="n">
        <x:v>2024</x:v>
      </x:c>
      <x:c r="B33" s="23" t="str">
        <x:v>Toli-Toli</x:v>
      </x:c>
      <x:c r="C33" s="24" t="n">
        <x:v>4547</x:v>
      </x:c>
      <x:c r="D33" s="24" t="n">
        <x:v>517</x:v>
      </x:c>
      <x:c r="E33" s="24" t="n">
        <x:v>2145</x:v>
      </x:c>
      <x:c r="F33" s="24" t="n">
        <x:v>176444</x:v>
      </x:c>
      <x:c r="G33" s="24" t="n">
        <x:v>183653</x:v>
      </x:c>
      <x:c r="H33" s="23" t="str">
        <x:v>Final</x:v>
      </x:c>
    </x:row>
    <x:row r="34">
      <x:c r="A34" s="22" t="n">
        <x:v>2024</x:v>
      </x:c>
      <x:c r="B34" s="23" t="str">
        <x:v>Buol</x:v>
      </x:c>
      <x:c r="C34" s="24" t="n">
        <x:v>1830</x:v>
      </x:c>
      <x:c r="D34" s="24" t="n">
        <x:v>52</x:v>
      </x:c>
      <x:c r="E34" s="24" t="n">
        <x:v>1083</x:v>
      </x:c>
      <x:c r="F34" s="24" t="n">
        <x:v>49056</x:v>
      </x:c>
      <x:c r="G34" s="24" t="n">
        <x:v>52021</x:v>
      </x:c>
      <x:c r="H34" s="23" t="str">
        <x:v>Final</x:v>
      </x:c>
    </x:row>
    <x:row r="35">
      <x:c r="A35" s="22" t="n">
        <x:v>2024</x:v>
      </x:c>
      <x:c r="B35" s="23" t="str">
        <x:v>Parigi Moutong</x:v>
      </x:c>
      <x:c r="C35" s="24" t="n">
        <x:v>99</x:v>
      </x:c>
      <x:c r="D35" s="24"/>
      <x:c r="E35" s="24" t="n">
        <x:v>65</x:v>
      </x:c>
      <x:c r="F35" s="24" t="n">
        <x:v>1418</x:v>
      </x:c>
      <x:c r="G35" s="24" t="n">
        <x:v>1582</x:v>
      </x:c>
      <x:c r="H35" s="23" t="str">
        <x:v>Final</x:v>
      </x:c>
    </x:row>
    <x:row r="36">
      <x:c r="A36" s="22" t="n">
        <x:v>2024</x:v>
      </x:c>
      <x:c r="B36" s="23" t="str">
        <x:v>Tojo Una-Una</x:v>
      </x:c>
      <x:c r="C36" s="24" t="n">
        <x:v>2126</x:v>
      </x:c>
      <x:c r="D36" s="24" t="n">
        <x:v>90</x:v>
      </x:c>
      <x:c r="E36" s="24" t="n">
        <x:v>1428</x:v>
      </x:c>
      <x:c r="F36" s="24" t="n">
        <x:v>45517</x:v>
      </x:c>
      <x:c r="G36" s="24" t="n">
        <x:v>49161</x:v>
      </x:c>
      <x:c r="H36" s="23" t="str">
        <x:v>Final</x:v>
      </x:c>
    </x:row>
    <x:row r="37">
      <x:c r="A37" s="22" t="n">
        <x:v>2024</x:v>
      </x:c>
      <x:c r="B37" s="23" t="str">
        <x:v>Sigi</x:v>
      </x:c>
      <x:c r="C37" s="24" t="n">
        <x:v>58</x:v>
      </x:c>
      <x:c r="D37" s="24"/>
      <x:c r="E37" s="24" t="n">
        <x:v>32</x:v>
      </x:c>
      <x:c r="F37" s="24" t="n">
        <x:v>900</x:v>
      </x:c>
      <x:c r="G37" s="24" t="n">
        <x:v>990</x:v>
      </x:c>
      <x:c r="H37" s="23" t="str">
        <x:v>Final</x:v>
      </x:c>
    </x:row>
    <x:row r="38">
      <x:c r="A38" s="22" t="n">
        <x:v>2024</x:v>
      </x:c>
      <x:c r="B38" s="23" t="str">
        <x:v>Banggai Laut</x:v>
      </x:c>
      <x:c r="C38" s="24"/>
      <x:c r="D38" s="24"/>
      <x:c r="E38" s="24"/>
      <x:c r="F38" s="24"/>
      <x:c r="G38" s="24"/>
      <x:c r="H38" s="23" t="str">
        <x:v>Final</x:v>
      </x:c>
    </x:row>
    <x:row r="39">
      <x:c r="A39" s="22" t="n">
        <x:v>2024</x:v>
      </x:c>
      <x:c r="B39" s="23" t="str">
        <x:v>Morowali Utara</x:v>
      </x:c>
      <x:c r="C39" s="24" t="n">
        <x:v>5321</x:v>
      </x:c>
      <x:c r="D39" s="24" t="n">
        <x:v>60</x:v>
      </x:c>
      <x:c r="E39" s="24" t="n">
        <x:v>3267</x:v>
      </x:c>
      <x:c r="F39" s="24" t="n">
        <x:v>90567</x:v>
      </x:c>
      <x:c r="G39" s="24" t="n">
        <x:v>99215</x:v>
      </x:c>
      <x:c r="H39" s="23" t="str">
        <x:v>Final</x:v>
      </x:c>
    </x:row>
    <x:row r="40">
      <x:c r="A40" s="22" t="n">
        <x:v>2024</x:v>
      </x:c>
      <x:c r="B40" s="23" t="str">
        <x:v>Kota Palu</x:v>
      </x:c>
      <x:c r="C40" s="24" t="n">
        <x:v>51177</x:v>
      </x:c>
      <x:c r="D40" s="24" t="n">
        <x:v>950</x:v>
      </x:c>
      <x:c r="E40" s="24" t="n">
        <x:v>15240</x:v>
      </x:c>
      <x:c r="F40" s="24" t="n">
        <x:v>256707</x:v>
      </x:c>
      <x:c r="G40" s="24" t="n">
        <x:v>324074</x:v>
      </x:c>
      <x:c r="H40" s="23" t="str">
        <x:v>Final</x:v>
      </x:c>
    </x:row>
    <x:row r="41">
      <x:c r="A41" s="22" t="n">
        <x:v>2025</x:v>
      </x:c>
      <x:c r="B41" s="23" t="str">
        <x:v>Banggai Kepulauan</x:v>
      </x:c>
      <x:c r="C41" s="24" t="n">
        <x:v>1</x:v>
      </x:c>
      <x:c r="D41" s="24" t="n">
        <x:v>20</x:v>
      </x:c>
      <x:c r="E41" s="24" t="n">
        <x:v>2</x:v>
      </x:c>
      <x:c r="F41" s="24" t="n">
        <x:v>29</x:v>
      </x:c>
      <x:c r="G41" s="24" t="n">
        <x:v>33</x:v>
      </x:c>
      <x:c r="H41" s="23" t="str">
        <x:v>Sementara</x:v>
      </x:c>
    </x:row>
    <x:row r="42">
      <x:c r="A42" s="22" t="n">
        <x:v>2025</x:v>
      </x:c>
      <x:c r="B42" s="23" t="str">
        <x:v>Banggai</x:v>
      </x:c>
      <x:c r="C42" s="24" t="n">
        <x:v>13</x:v>
      </x:c>
      <x:c r="D42" s="24" t="n">
        <x:v>94</x:v>
      </x:c>
      <x:c r="E42" s="24" t="n">
        <x:v>8</x:v>
      </x:c>
      <x:c r="F42" s="24" t="n">
        <x:v>144</x:v>
      </x:c>
      <x:c r="G42" s="24" t="n">
        <x:v>164</x:v>
      </x:c>
      <x:c r="H42" s="23" t="str">
        <x:v>Sementara</x:v>
      </x:c>
    </x:row>
    <x:row r="43">
      <x:c r="A43" s="22" t="n">
        <x:v>2025</x:v>
      </x:c>
      <x:c r="B43" s="23" t="str">
        <x:v>Morowali</x:v>
      </x:c>
      <x:c r="C43" s="24" t="n">
        <x:v>7</x:v>
      </x:c>
      <x:c r="D43" s="24" t="n">
        <x:v>111</x:v>
      </x:c>
      <x:c r="E43" s="24" t="n">
        <x:v>4</x:v>
      </x:c>
      <x:c r="F43" s="24" t="n">
        <x:v>66</x:v>
      </x:c>
      <x:c r="G43" s="24" t="n">
        <x:v>77</x:v>
      </x:c>
      <x:c r="H43" s="23" t="str">
        <x:v>Sementara</x:v>
      </x:c>
    </x:row>
    <x:row r="44">
      <x:c r="A44" s="22" t="n">
        <x:v>2025</x:v>
      </x:c>
      <x:c r="B44" s="23" t="str">
        <x:v>Poso</x:v>
      </x:c>
      <x:c r="C44" s="24" t="n">
        <x:v>8</x:v>
      </x:c>
      <x:c r="D44" s="24" t="n">
        <x:v>40</x:v>
      </x:c>
      <x:c r="E44" s="24" t="n">
        <x:v>4</x:v>
      </x:c>
      <x:c r="F44" s="24" t="n">
        <x:v>80</x:v>
      </x:c>
      <x:c r="G44" s="24" t="n">
        <x:v>92</x:v>
      </x:c>
      <x:c r="H44" s="23" t="str">
        <x:v>Sementara</x:v>
      </x:c>
    </x:row>
    <x:row r="45">
      <x:c r="A45" s="22" t="n">
        <x:v>2025</x:v>
      </x:c>
      <x:c r="B45" s="23" t="str">
        <x:v>Donggala</x:v>
      </x:c>
      <x:c r="C45" s="24" t="n">
        <x:v>5</x:v>
      </x:c>
      <x:c r="D45" s="24" t="n">
        <x:v>37</x:v>
      </x:c>
      <x:c r="E45" s="24" t="n">
        <x:v>4</x:v>
      </x:c>
      <x:c r="F45" s="24" t="n">
        <x:v>91</x:v>
      </x:c>
      <x:c r="G45" s="24" t="n">
        <x:v>99</x:v>
      </x:c>
      <x:c r="H45" s="23" t="str">
        <x:v>Sementara</x:v>
      </x:c>
    </x:row>
    <x:row r="46">
      <x:c r="A46" s="22" t="n">
        <x:v>2025</x:v>
      </x:c>
      <x:c r="B46" s="23" t="str">
        <x:v>Toli-Toli</x:v>
      </x:c>
      <x:c r="C46" s="24" t="n">
        <x:v>5</x:v>
      </x:c>
      <x:c r="D46" s="24" t="n">
        <x:v>18</x:v>
      </x:c>
      <x:c r="E46" s="24" t="n">
        <x:v>3</x:v>
      </x:c>
      <x:c r="F46" s="24" t="n">
        <x:v>70</x:v>
      </x:c>
      <x:c r="G46" s="24" t="n">
        <x:v>78</x:v>
      </x:c>
      <x:c r="H46" s="23" t="str">
        <x:v>Sementara</x:v>
      </x:c>
    </x:row>
    <x:row r="47">
      <x:c r="A47" s="22" t="n">
        <x:v>2025</x:v>
      </x:c>
      <x:c r="B47" s="23" t="str">
        <x:v>Buol</x:v>
      </x:c>
      <x:c r="C47" s="24" t="n">
        <x:v>2</x:v>
      </x:c>
      <x:c r="D47" s="24" t="n">
        <x:v>23</x:v>
      </x:c>
      <x:c r="E47" s="24" t="n">
        <x:v>887</x:v>
      </x:c>
      <x:c r="F47" s="24" t="n">
        <x:v>36</x:v>
      </x:c>
      <x:c r="G47" s="24" t="n">
        <x:v>38</x:v>
      </x:c>
      <x:c r="H47" s="23" t="str">
        <x:v>Sementara</x:v>
      </x:c>
    </x:row>
    <x:row r="48">
      <x:c r="A48" s="22" t="n">
        <x:v>2025</x:v>
      </x:c>
      <x:c r="B48" s="23" t="str">
        <x:v>Parigi Moutong</x:v>
      </x:c>
      <x:c r="C48" s="24" t="n">
        <x:v>9</x:v>
      </x:c>
      <x:c r="D48" s="24" t="n">
        <x:v>22</x:v>
      </x:c>
      <x:c r="E48" s="24" t="n">
        <x:v>7</x:v>
      </x:c>
      <x:c r="F48" s="24" t="n">
        <x:v>130</x:v>
      </x:c>
      <x:c r="G48" s="24" t="n">
        <x:v>146</x:v>
      </x:c>
      <x:c r="H48" s="23" t="str">
        <x:v>Sementara</x:v>
      </x:c>
    </x:row>
    <x:row r="49">
      <x:c r="A49" s="22" t="n">
        <x:v>2025</x:v>
      </x:c>
      <x:c r="B49" s="23" t="str">
        <x:v>Tojo Una-Una</x:v>
      </x:c>
      <x:c r="C49" s="24" t="n">
        <x:v>3</x:v>
      </x:c>
      <x:c r="D49" s="24" t="n">
        <x:v>33</x:v>
      </x:c>
      <x:c r="E49" s="24" t="n">
        <x:v>2</x:v>
      </x:c>
      <x:c r="F49" s="24" t="n">
        <x:v>44</x:v>
      </x:c>
      <x:c r="G49" s="24" t="n">
        <x:v>49</x:v>
      </x:c>
      <x:c r="H49" s="23" t="str">
        <x:v>Sementara</x:v>
      </x:c>
    </x:row>
    <x:row r="50">
      <x:c r="A50" s="22" t="n">
        <x:v>2025</x:v>
      </x:c>
      <x:c r="B50" s="23" t="str">
        <x:v>Sigi</x:v>
      </x:c>
      <x:c r="C50" s="24" t="n">
        <x:v>6</x:v>
      </x:c>
      <x:c r="D50" s="24" t="n">
        <x:v>14</x:v>
      </x:c>
      <x:c r="E50" s="24" t="n">
        <x:v>3</x:v>
      </x:c>
      <x:c r="F50" s="24" t="n">
        <x:v>93</x:v>
      </x:c>
      <x:c r="G50" s="24" t="n">
        <x:v>102</x:v>
      </x:c>
      <x:c r="H50" s="23" t="str">
        <x:v>Sementara</x:v>
      </x:c>
    </x:row>
    <x:row r="51">
      <x:c r="A51" s="22" t="n">
        <x:v>2025</x:v>
      </x:c>
      <x:c r="B51" s="23" t="str">
        <x:v>Banggai Laut</x:v>
      </x:c>
      <x:c r="C51" s="24" t="n">
        <x:v>154</x:v>
      </x:c>
      <x:c r="D51" s="24" t="n">
        <x:v>3</x:v>
      </x:c>
      <x:c r="E51" s="24" t="n">
        <x:v>167</x:v>
      </x:c>
      <x:c r="F51" s="24" t="n">
        <x:v>6</x:v>
      </x:c>
      <x:c r="G51" s="24" t="n">
        <x:v>6</x:v>
      </x:c>
      <x:c r="H51" s="23" t="str">
        <x:v>Sementara</x:v>
      </x:c>
    </x:row>
    <x:row r="52">
      <x:c r="A52" s="22" t="n">
        <x:v>2025</x:v>
      </x:c>
      <x:c r="B52" s="23" t="str">
        <x:v>Morowali Utara</x:v>
      </x:c>
      <x:c r="C52" s="24" t="n">
        <x:v>4</x:v>
      </x:c>
      <x:c r="D52" s="24" t="n">
        <x:v>24</x:v>
      </x:c>
      <x:c r="E52" s="24" t="n">
        <x:v>2</x:v>
      </x:c>
      <x:c r="F52" s="24" t="n">
        <x:v>45</x:v>
      </x:c>
      <x:c r="G52" s="24" t="n">
        <x:v>51</x:v>
      </x:c>
      <x:c r="H52" s="23" t="str">
        <x:v>Sementara</x:v>
      </x:c>
    </x:row>
    <x:row r="53">
      <x:c r="A53" s="22" t="n">
        <x:v>2025</x:v>
      </x:c>
      <x:c r="B53" s="23" t="str">
        <x:v>Kota Palu</x:v>
      </x:c>
      <x:c r="C53" s="24" t="n">
        <x:v>65</x:v>
      </x:c>
      <x:c r="D53" s="24" t="n">
        <x:v>775</x:v>
      </x:c>
      <x:c r="E53" s="24" t="n">
        <x:v>29</x:v>
      </x:c>
      <x:c r="F53" s="24" t="n">
        <x:v>636</x:v>
      </x:c>
      <x:c r="G53" s="24" t="n">
        <x:v>730</x:v>
      </x:c>
      <x:c r="H53" s="23" t="str">
        <x:v>Sementara</x:v>
      </x:c>
    </x:row>
  </x:sheetData>
  <x:conditionalFormatting sqref="H2:H53">
    <x:cfRule type="expression" dxfId="2" priority="1">
      <x:formula>H2="Sementara"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7f9e133de846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10" hidden="0" customWidth="1"/>
    <x:col min="5" max="5" width="10" hidden="0" customWidth="1"/>
    <x:col min="6" max="6" width="18" hidden="0" customWidth="1"/>
    <x:col min="7" max="7" width="18" hidden="0" customWidth="1"/>
    <x:col min="8" max="8" width="14" hidden="0" customWidth="1"/>
    <x:col min="9" max="9" width="24" hidden="0" customWidth="1"/>
  </x:cols>
  <x:sheetData>
    <x:row r="1">
      <x:c r="A1" s="6" t="str">
        <x:v>tahun</x:v>
      </x:c>
      <x:c r="B1" s="6" t="str">
        <x:v>kabupaten_kota</x:v>
      </x:c>
      <x:c r="C1" s="6" t="str">
        <x:v>mobil_penumpang</x:v>
      </x:c>
      <x:c r="D1" s="6" t="str">
        <x:v>bus</x:v>
      </x:c>
      <x:c r="E1" s="6" t="str">
        <x:v>truk</x:v>
      </x:c>
      <x:c r="F1" s="6" t="str">
        <x:v>sepeda_motor</x:v>
      </x:c>
      <x:c r="G1" s="6" t="str">
        <x:v>jumlah_kendaraan</x:v>
      </x:c>
      <x:c r="H1" s="6" t="str">
        <x:v>status_data</x:v>
      </x:c>
      <x:c r="I1" s="6" t="str">
        <x:v>kategori_jumlah_kendaraan</x:v>
      </x:c>
    </x:row>
    <x:row r="2">
      <x:c r="A2" s="22" t="n">
        <x:v>2022</x:v>
      </x:c>
      <x:c r="B2" s="23" t="str">
        <x:v>Banggai Kepulauan</x:v>
      </x:c>
      <x:c r="C2" s="24" t="n">
        <x:v>833</x:v>
      </x:c>
      <x:c r="D2" s="24" t="n">
        <x:v>10</x:v>
      </x:c>
      <x:c r="E2" s="24" t="n">
        <x:v>1421</x:v>
      </x:c>
      <x:c r="F2" s="24" t="n">
        <x:v>33033</x:v>
      </x:c>
      <x:c r="G2" s="24" t="n">
        <x:v>35297</x:v>
      </x:c>
      <x:c r="H2" s="23" t="str">
        <x:v>Final</x:v>
      </x:c>
      <x:c r="I2" s="23" t="str">
        <x:f>IF(G2="","Tidak Tersedia",IF(G2&lt;=Batas_Kategori!$B$2,"Rendah",IF(G2&lt;=Batas_Kategori!$B$3,"Sedang","Tinggi")))</x:f>
        <x:v>Sedang</x:v>
      </x:c>
    </x:row>
    <x:row r="3">
      <x:c r="A3" s="22" t="n">
        <x:v>2022</x:v>
      </x:c>
      <x:c r="B3" s="23" t="str">
        <x:v>Banggai</x:v>
      </x:c>
      <x:c r="C3" s="24" t="n">
        <x:v>7212</x:v>
      </x:c>
      <x:c r="D3" s="24" t="n">
        <x:v>159</x:v>
      </x:c>
      <x:c r="E3" s="24" t="n">
        <x:v>4652</x:v>
      </x:c>
      <x:c r="F3" s="24" t="n">
        <x:v>207031</x:v>
      </x:c>
      <x:c r="G3" s="24" t="n">
        <x:v>219054</x:v>
      </x:c>
      <x:c r="H3" s="23" t="str">
        <x:v>Final</x:v>
      </x:c>
      <x:c r="I3" s="23" t="str">
        <x:f>IF(G3="","Tidak Tersedia",IF(G3&lt;=Batas_Kategori!$B$2,"Rendah",IF(G3&lt;=Batas_Kategori!$B$3,"Sedang","Tinggi")))</x:f>
        <x:v>Tinggi</x:v>
      </x:c>
    </x:row>
    <x:row r="4">
      <x:c r="A4" s="22" t="n">
        <x:v>2022</x:v>
      </x:c>
      <x:c r="B4" s="23" t="str">
        <x:v>Morowali</x:v>
      </x:c>
      <x:c r="C4" s="24" t="n">
        <x:v>1520</x:v>
      </x:c>
      <x:c r="D4" s="24"/>
      <x:c r="E4" s="24" t="n">
        <x:v>711</x:v>
      </x:c>
      <x:c r="F4" s="24" t="n">
        <x:v>12500</x:v>
      </x:c>
      <x:c r="G4" s="24" t="n">
        <x:v>14731</x:v>
      </x:c>
      <x:c r="H4" s="23" t="str">
        <x:v>Final</x:v>
      </x:c>
      <x:c r="I4" s="23" t="str">
        <x:f>IF(G4="","Tidak Tersedia",IF(G4&lt;=Batas_Kategori!$B$2,"Rendah",IF(G4&lt;=Batas_Kategori!$B$3,"Sedang","Tinggi")))</x:f>
        <x:v>Sedang</x:v>
      </x:c>
    </x:row>
    <x:row r="5">
      <x:c r="A5" s="22" t="n">
        <x:v>2022</x:v>
      </x:c>
      <x:c r="B5" s="23" t="str">
        <x:v>Poso</x:v>
      </x:c>
      <x:c r="C5" s="24" t="n">
        <x:v>3282</x:v>
      </x:c>
      <x:c r="D5" s="24" t="n">
        <x:v>12</x:v>
      </x:c>
      <x:c r="E5" s="24" t="n">
        <x:v>1797</x:v>
      </x:c>
      <x:c r="F5" s="24" t="n">
        <x:v>31627</x:v>
      </x:c>
      <x:c r="G5" s="24" t="n">
        <x:v>36718</x:v>
      </x:c>
      <x:c r="H5" s="23" t="str">
        <x:v>Final</x:v>
      </x:c>
      <x:c r="I5" s="23" t="str">
        <x:f>IF(G5="","Tidak Tersedia",IF(G5&lt;=Batas_Kategori!$B$2,"Rendah",IF(G5&lt;=Batas_Kategori!$B$3,"Sedang","Tinggi")))</x:f>
        <x:v>Sedang</x:v>
      </x:c>
    </x:row>
    <x:row r="6">
      <x:c r="A6" s="22" t="n">
        <x:v>2022</x:v>
      </x:c>
      <x:c r="B6" s="23" t="str">
        <x:v>Donggala</x:v>
      </x:c>
      <x:c r="C6" s="24"/>
      <x:c r="D6" s="24"/>
      <x:c r="E6" s="24"/>
      <x:c r="F6" s="24"/>
      <x:c r="G6" s="24"/>
      <x:c r="H6" s="23" t="str">
        <x:v>Final</x:v>
      </x:c>
      <x:c r="I6" s="23" t="str">
        <x:f>IF(G6="","Tidak Tersedia",IF(G6&lt;=Batas_Kategori!$B$2,"Rendah",IF(G6&lt;=Batas_Kategori!$B$3,"Sedang","Tinggi")))</x:f>
        <x:v>Tidak Tersedia</x:v>
      </x:c>
    </x:row>
    <x:row r="7">
      <x:c r="A7" s="22" t="n">
        <x:v>2022</x:v>
      </x:c>
      <x:c r="B7" s="23" t="str">
        <x:v>Toli-Toli</x:v>
      </x:c>
      <x:c r="C7" s="24" t="n">
        <x:v>5757</x:v>
      </x:c>
      <x:c r="D7" s="24" t="n">
        <x:v>519</x:v>
      </x:c>
      <x:c r="E7" s="24" t="n">
        <x:v>2046</x:v>
      </x:c>
      <x:c r="F7" s="24" t="n">
        <x:v>79639</x:v>
      </x:c>
      <x:c r="G7" s="24" t="n">
        <x:v>87961</x:v>
      </x:c>
      <x:c r="H7" s="23" t="str">
        <x:v>Final</x:v>
      </x:c>
      <x:c r="I7" s="23" t="str">
        <x:f>IF(G7="","Tidak Tersedia",IF(G7&lt;=Batas_Kategori!$B$2,"Rendah",IF(G7&lt;=Batas_Kategori!$B$3,"Sedang","Tinggi")))</x:f>
        <x:v>Tinggi</x:v>
      </x:c>
    </x:row>
    <x:row r="8">
      <x:c r="A8" s="22" t="n">
        <x:v>2022</x:v>
      </x:c>
      <x:c r="B8" s="23" t="str">
        <x:v>Buol</x:v>
      </x:c>
      <x:c r="C8" s="24" t="n">
        <x:v>1585</x:v>
      </x:c>
      <x:c r="D8" s="24" t="n">
        <x:v>52</x:v>
      </x:c>
      <x:c r="E8" s="24" t="n">
        <x:v>966</x:v>
      </x:c>
      <x:c r="F8" s="24" t="n">
        <x:v>41791</x:v>
      </x:c>
      <x:c r="G8" s="24" t="n">
        <x:v>44394</x:v>
      </x:c>
      <x:c r="H8" s="23" t="str">
        <x:v>Final</x:v>
      </x:c>
      <x:c r="I8" s="23" t="str">
        <x:f>IF(G8="","Tidak Tersedia",IF(G8&lt;=Batas_Kategori!$B$2,"Rendah",IF(G8&lt;=Batas_Kategori!$B$3,"Sedang","Tinggi")))</x:f>
        <x:v>Sedang</x:v>
      </x:c>
    </x:row>
    <x:row r="9">
      <x:c r="A9" s="22" t="n">
        <x:v>2022</x:v>
      </x:c>
      <x:c r="B9" s="23" t="str">
        <x:v>Parigi Moutong</x:v>
      </x:c>
      <x:c r="C9" s="24"/>
      <x:c r="D9" s="24"/>
      <x:c r="E9" s="24"/>
      <x:c r="F9" s="24"/>
      <x:c r="G9" s="24"/>
      <x:c r="H9" s="23" t="str">
        <x:v>Final</x:v>
      </x:c>
      <x:c r="I9" s="23" t="str">
        <x:f>IF(G9="","Tidak Tersedia",IF(G9&lt;=Batas_Kategori!$B$2,"Rendah",IF(G9&lt;=Batas_Kategori!$B$3,"Sedang","Tinggi")))</x:f>
        <x:v>Tidak Tersedia</x:v>
      </x:c>
    </x:row>
    <x:row r="10">
      <x:c r="A10" s="22" t="n">
        <x:v>2022</x:v>
      </x:c>
      <x:c r="B10" s="23" t="str">
        <x:v>Tojo Una-Una</x:v>
      </x:c>
      <x:c r="C10" s="24" t="n">
        <x:v>1727</x:v>
      </x:c>
      <x:c r="D10" s="24" t="n">
        <x:v>89</x:v>
      </x:c>
      <x:c r="E10" s="24" t="n">
        <x:v>1215</x:v>
      </x:c>
      <x:c r="F10" s="24" t="n">
        <x:v>40210</x:v>
      </x:c>
      <x:c r="G10" s="24" t="n">
        <x:v>43241</x:v>
      </x:c>
      <x:c r="H10" s="23" t="str">
        <x:v>Final</x:v>
      </x:c>
      <x:c r="I10" s="23" t="str">
        <x:f>IF(G10="","Tidak Tersedia",IF(G10&lt;=Batas_Kategori!$B$2,"Rendah",IF(G10&lt;=Batas_Kategori!$B$3,"Sedang","Tinggi")))</x:f>
        <x:v>Sedang</x:v>
      </x:c>
    </x:row>
    <x:row r="11">
      <x:c r="A11" s="22" t="n">
        <x:v>2022</x:v>
      </x:c>
      <x:c r="B11" s="23" t="str">
        <x:v>Sigi</x:v>
      </x:c>
      <x:c r="C11" s="24"/>
      <x:c r="D11" s="24"/>
      <x:c r="E11" s="24"/>
      <x:c r="F11" s="24"/>
      <x:c r="G11" s="24"/>
      <x:c r="H11" s="23" t="str">
        <x:v>Final</x:v>
      </x:c>
      <x:c r="I11" s="23" t="str">
        <x:f>IF(G11="","Tidak Tersedia",IF(G11&lt;=Batas_Kategori!$B$2,"Rendah",IF(G11&lt;=Batas_Kategori!$B$3,"Sedang","Tinggi")))</x:f>
        <x:v>Tidak Tersedia</x:v>
      </x:c>
    </x:row>
    <x:row r="12">
      <x:c r="A12" s="22" t="n">
        <x:v>2022</x:v>
      </x:c>
      <x:c r="B12" s="23" t="str">
        <x:v>Banggai Laut</x:v>
      </x:c>
      <x:c r="C12" s="24"/>
      <x:c r="D12" s="24"/>
      <x:c r="E12" s="24"/>
      <x:c r="F12" s="24"/>
      <x:c r="G12" s="24"/>
      <x:c r="H12" s="23" t="str">
        <x:v>Final</x:v>
      </x:c>
      <x:c r="I12" s="23" t="str">
        <x:f>IF(G12="","Tidak Tersedia",IF(G12&lt;=Batas_Kategori!$B$2,"Rendah",IF(G12&lt;=Batas_Kategori!$B$3,"Sedang","Tinggi")))</x:f>
        <x:v>Tidak Tersedia</x:v>
      </x:c>
    </x:row>
    <x:row r="13">
      <x:c r="A13" s="22" t="n">
        <x:v>2022</x:v>
      </x:c>
      <x:c r="B13" s="23" t="str">
        <x:v>Morowali Utara</x:v>
      </x:c>
      <x:c r="C13" s="24" t="n">
        <x:v>4304</x:v>
      </x:c>
      <x:c r="D13" s="24" t="n">
        <x:v>56</x:v>
      </x:c>
      <x:c r="E13" s="24" t="n">
        <x:v>2742</x:v>
      </x:c>
      <x:c r="F13" s="24" t="n">
        <x:v>80781</x:v>
      </x:c>
      <x:c r="G13" s="24" t="n">
        <x:v>87883</x:v>
      </x:c>
      <x:c r="H13" s="23" t="str">
        <x:v>Final</x:v>
      </x:c>
      <x:c r="I13" s="23" t="str">
        <x:f>IF(G13="","Tidak Tersedia",IF(G13&lt;=Batas_Kategori!$B$2,"Rendah",IF(G13&lt;=Batas_Kategori!$B$3,"Sedang","Tinggi")))</x:f>
        <x:v>Tinggi</x:v>
      </x:c>
    </x:row>
    <x:row r="14">
      <x:c r="A14" s="22" t="n">
        <x:v>2022</x:v>
      </x:c>
      <x:c r="B14" s="23" t="str">
        <x:v>Kota Palu</x:v>
      </x:c>
      <x:c r="C14" s="24" t="n">
        <x:v>34718</x:v>
      </x:c>
      <x:c r="D14" s="24" t="n">
        <x:v>617</x:v>
      </x:c>
      <x:c r="E14" s="24" t="n">
        <x:v>16048</x:v>
      </x:c>
      <x:c r="F14" s="24" t="n">
        <x:v>272554</x:v>
      </x:c>
      <x:c r="G14" s="24" t="n">
        <x:v>323937</x:v>
      </x:c>
      <x:c r="H14" s="23" t="str">
        <x:v>Final</x:v>
      </x:c>
      <x:c r="I14" s="23" t="str">
        <x:f>IF(G14="","Tidak Tersedia",IF(G14&lt;=Batas_Kategori!$B$2,"Rendah",IF(G14&lt;=Batas_Kategori!$B$3,"Sedang","Tinggi")))</x:f>
        <x:v>Tinggi</x:v>
      </x:c>
    </x:row>
    <x:row r="15">
      <x:c r="A15" s="22" t="n">
        <x:v>2023</x:v>
      </x:c>
      <x:c r="B15" s="23" t="str">
        <x:v>Banggai Kepulauan</x:v>
      </x:c>
      <x:c r="C15" s="24" t="n">
        <x:v>839</x:v>
      </x:c>
      <x:c r="D15" s="24" t="n">
        <x:v>10</x:v>
      </x:c>
      <x:c r="E15" s="24" t="n">
        <x:v>1444</x:v>
      </x:c>
      <x:c r="F15" s="24" t="n">
        <x:v>33195</x:v>
      </x:c>
      <x:c r="G15" s="24" t="n">
        <x:v>35488</x:v>
      </x:c>
      <x:c r="H15" s="23" t="str">
        <x:v>Final</x:v>
      </x:c>
      <x:c r="I15" s="23" t="str">
        <x:f>IF(G15="","Tidak Tersedia",IF(G15&lt;=Batas_Kategori!$B$2,"Rendah",IF(G15&lt;=Batas_Kategori!$B$3,"Sedang","Tinggi")))</x:f>
        <x:v>Sedang</x:v>
      </x:c>
    </x:row>
    <x:row r="16">
      <x:c r="A16" s="22" t="n">
        <x:v>2023</x:v>
      </x:c>
      <x:c r="B16" s="23" t="str">
        <x:v>Banggai</x:v>
      </x:c>
      <x:c r="C16" s="24" t="n">
        <x:v>7346</x:v>
      </x:c>
      <x:c r="D16" s="24" t="n">
        <x:v>159</x:v>
      </x:c>
      <x:c r="E16" s="24" t="n">
        <x:v>4610</x:v>
      </x:c>
      <x:c r="F16" s="24" t="n">
        <x:v>207403</x:v>
      </x:c>
      <x:c r="G16" s="24" t="n">
        <x:v>219518</x:v>
      </x:c>
      <x:c r="H16" s="23" t="str">
        <x:v>Final</x:v>
      </x:c>
      <x:c r="I16" s="23" t="str">
        <x:f>IF(G16="","Tidak Tersedia",IF(G16&lt;=Batas_Kategori!$B$2,"Rendah",IF(G16&lt;=Batas_Kategori!$B$3,"Sedang","Tinggi")))</x:f>
        <x:v>Tinggi</x:v>
      </x:c>
    </x:row>
    <x:row r="17">
      <x:c r="A17" s="22" t="n">
        <x:v>2023</x:v>
      </x:c>
      <x:c r="B17" s="23" t="str">
        <x:v>Morowali</x:v>
      </x:c>
      <x:c r="C17" s="24" t="n">
        <x:v>2554</x:v>
      </x:c>
      <x:c r="D17" s="24" t="n">
        <x:v>10</x:v>
      </x:c>
      <x:c r="E17" s="24" t="n">
        <x:v>1436</x:v>
      </x:c>
      <x:c r="F17" s="24" t="n">
        <x:v>20779</x:v>
      </x:c>
      <x:c r="G17" s="24" t="n">
        <x:v>24779</x:v>
      </x:c>
      <x:c r="H17" s="23" t="str">
        <x:v>Final</x:v>
      </x:c>
      <x:c r="I17" s="23" t="str">
        <x:f>IF(G17="","Tidak Tersedia",IF(G17&lt;=Batas_Kategori!$B$2,"Rendah",IF(G17&lt;=Batas_Kategori!$B$3,"Sedang","Tinggi")))</x:f>
        <x:v>Sedang</x:v>
      </x:c>
    </x:row>
    <x:row r="18">
      <x:c r="A18" s="22" t="n">
        <x:v>2023</x:v>
      </x:c>
      <x:c r="B18" s="23" t="str">
        <x:v>Poso</x:v>
      </x:c>
      <x:c r="C18" s="24" t="n">
        <x:v>3736</x:v>
      </x:c>
      <x:c r="D18" s="24" t="n">
        <x:v>13</x:v>
      </x:c>
      <x:c r="E18" s="24" t="n">
        <x:v>3936</x:v>
      </x:c>
      <x:c r="F18" s="24" t="n">
        <x:v>322982</x:v>
      </x:c>
      <x:c r="G18" s="24" t="n">
        <x:v>330667</x:v>
      </x:c>
      <x:c r="H18" s="23" t="str">
        <x:v>Final</x:v>
      </x:c>
      <x:c r="I18" s="23" t="str">
        <x:f>IF(G18="","Tidak Tersedia",IF(G18&lt;=Batas_Kategori!$B$2,"Rendah",IF(G18&lt;=Batas_Kategori!$B$3,"Sedang","Tinggi")))</x:f>
        <x:v>Tinggi</x:v>
      </x:c>
    </x:row>
    <x:row r="19">
      <x:c r="A19" s="22" t="n">
        <x:v>2023</x:v>
      </x:c>
      <x:c r="B19" s="23" t="str">
        <x:v>Donggala</x:v>
      </x:c>
      <x:c r="C19" s="24" t="n">
        <x:v>36</x:v>
      </x:c>
      <x:c r="D19" s="24"/>
      <x:c r="E19" s="24" t="n">
        <x:v>7</x:v>
      </x:c>
      <x:c r="F19" s="24" t="n">
        <x:v>311</x:v>
      </x:c>
      <x:c r="G19" s="24" t="n">
        <x:v>354</x:v>
      </x:c>
      <x:c r="H19" s="23" t="str">
        <x:v>Final</x:v>
      </x:c>
      <x:c r="I19" s="23" t="str">
        <x:f>IF(G19="","Tidak Tersedia",IF(G19&lt;=Batas_Kategori!$B$2,"Rendah",IF(G19&lt;=Batas_Kategori!$B$3,"Sedang","Tinggi")))</x:f>
        <x:v>Rendah</x:v>
      </x:c>
    </x:row>
    <x:row r="20">
      <x:c r="A20" s="22" t="n">
        <x:v>2023</x:v>
      </x:c>
      <x:c r="B20" s="23" t="str">
        <x:v>Toli-Toli</x:v>
      </x:c>
      <x:c r="C20" s="24" t="n">
        <x:v>4093</x:v>
      </x:c>
      <x:c r="D20" s="24" t="n">
        <x:v>517</x:v>
      </x:c>
      <x:c r="E20" s="24" t="n">
        <x:v>2128</x:v>
      </x:c>
      <x:c r="F20" s="24" t="n">
        <x:v>166768</x:v>
      </x:c>
      <x:c r="G20" s="24" t="n">
        <x:v>173506</x:v>
      </x:c>
      <x:c r="H20" s="23" t="str">
        <x:v>Final</x:v>
      </x:c>
      <x:c r="I20" s="23" t="str">
        <x:f>IF(G20="","Tidak Tersedia",IF(G20&lt;=Batas_Kategori!$B$2,"Rendah",IF(G20&lt;=Batas_Kategori!$B$3,"Sedang","Tinggi")))</x:f>
        <x:v>Tinggi</x:v>
      </x:c>
    </x:row>
    <x:row r="21">
      <x:c r="A21" s="22" t="n">
        <x:v>2023</x:v>
      </x:c>
      <x:c r="B21" s="23" t="str">
        <x:v>Buol</x:v>
      </x:c>
      <x:c r="C21" s="24" t="n">
        <x:v>1702</x:v>
      </x:c>
      <x:c r="D21" s="24" t="n">
        <x:v>52</x:v>
      </x:c>
      <x:c r="E21" s="24" t="n">
        <x:v>1025</x:v>
      </x:c>
      <x:c r="F21" s="24" t="n">
        <x:v>45104</x:v>
      </x:c>
      <x:c r="G21" s="24" t="n">
        <x:v>47883</x:v>
      </x:c>
      <x:c r="H21" s="23" t="str">
        <x:v>Final</x:v>
      </x:c>
      <x:c r="I21" s="23" t="str">
        <x:f>IF(G21="","Tidak Tersedia",IF(G21&lt;=Batas_Kategori!$B$2,"Rendah",IF(G21&lt;=Batas_Kategori!$B$3,"Sedang","Tinggi")))</x:f>
        <x:v>Sedang</x:v>
      </x:c>
    </x:row>
    <x:row r="22">
      <x:c r="A22" s="22" t="n">
        <x:v>2023</x:v>
      </x:c>
      <x:c r="B22" s="23" t="str">
        <x:v>Parigi Moutong</x:v>
      </x:c>
      <x:c r="C22" s="24" t="n">
        <x:v>55</x:v>
      </x:c>
      <x:c r="D22" s="24"/>
      <x:c r="E22" s="24" t="n">
        <x:v>50</x:v>
      </x:c>
      <x:c r="F22" s="24" t="n">
        <x:v>545</x:v>
      </x:c>
      <x:c r="G22" s="24" t="n">
        <x:v>650</x:v>
      </x:c>
      <x:c r="H22" s="23" t="str">
        <x:v>Final</x:v>
      </x:c>
      <x:c r="I22" s="23" t="str">
        <x:f>IF(G22="","Tidak Tersedia",IF(G22&lt;=Batas_Kategori!$B$2,"Rendah",IF(G22&lt;=Batas_Kategori!$B$3,"Sedang","Tinggi")))</x:f>
        <x:v>Rendah</x:v>
      </x:c>
    </x:row>
    <x:row r="23">
      <x:c r="A23" s="22" t="n">
        <x:v>2023</x:v>
      </x:c>
      <x:c r="B23" s="23" t="str">
        <x:v>Tojo Una-Una</x:v>
      </x:c>
      <x:c r="C23" s="24" t="n">
        <x:v>1905</x:v>
      </x:c>
      <x:c r="D23" s="24" t="n">
        <x:v>89</x:v>
      </x:c>
      <x:c r="E23" s="24" t="n">
        <x:v>1338</x:v>
      </x:c>
      <x:c r="F23" s="24" t="n">
        <x:v>42338</x:v>
      </x:c>
      <x:c r="G23" s="24" t="n">
        <x:v>45667</x:v>
      </x:c>
      <x:c r="H23" s="23" t="str">
        <x:v>Final</x:v>
      </x:c>
      <x:c r="I23" s="23" t="str">
        <x:f>IF(G23="","Tidak Tersedia",IF(G23&lt;=Batas_Kategori!$B$2,"Rendah",IF(G23&lt;=Batas_Kategori!$B$3,"Sedang","Tinggi")))</x:f>
        <x:v>Sedang</x:v>
      </x:c>
    </x:row>
    <x:row r="24">
      <x:c r="A24" s="22" t="n">
        <x:v>2023</x:v>
      </x:c>
      <x:c r="B24" s="23" t="str">
        <x:v>Sigi</x:v>
      </x:c>
      <x:c r="C24" s="24" t="n">
        <x:v>37</x:v>
      </x:c>
      <x:c r="D24" s="24"/>
      <x:c r="E24" s="24" t="n">
        <x:v>30</x:v>
      </x:c>
      <x:c r="F24" s="24" t="n">
        <x:v>399</x:v>
      </x:c>
      <x:c r="G24" s="24" t="n">
        <x:v>466</x:v>
      </x:c>
      <x:c r="H24" s="23" t="str">
        <x:v>Final</x:v>
      </x:c>
      <x:c r="I24" s="23" t="str">
        <x:f>IF(G24="","Tidak Tersedia",IF(G24&lt;=Batas_Kategori!$B$2,"Rendah",IF(G24&lt;=Batas_Kategori!$B$3,"Sedang","Tinggi")))</x:f>
        <x:v>Rendah</x:v>
      </x:c>
    </x:row>
    <x:row r="25">
      <x:c r="A25" s="22" t="n">
        <x:v>2023</x:v>
      </x:c>
      <x:c r="B25" s="23" t="str">
        <x:v>Banggai Laut</x:v>
      </x:c>
      <x:c r="C25" s="24"/>
      <x:c r="D25" s="24"/>
      <x:c r="E25" s="24"/>
      <x:c r="F25" s="24"/>
      <x:c r="G25" s="24"/>
      <x:c r="H25" s="23" t="str">
        <x:v>Final</x:v>
      </x:c>
      <x:c r="I25" s="23" t="str">
        <x:f>IF(G25="","Tidak Tersedia",IF(G25&lt;=Batas_Kategori!$B$2,"Rendah",IF(G25&lt;=Batas_Kategori!$B$3,"Sedang","Tinggi")))</x:f>
        <x:v>Tidak Tersedia</x:v>
      </x:c>
    </x:row>
    <x:row r="26">
      <x:c r="A26" s="22" t="n">
        <x:v>2023</x:v>
      </x:c>
      <x:c r="B26" s="23" t="str">
        <x:v>Morowali Utara</x:v>
      </x:c>
      <x:c r="C26" s="24" t="n">
        <x:v>4786</x:v>
      </x:c>
      <x:c r="D26" s="24" t="n">
        <x:v>58</x:v>
      </x:c>
      <x:c r="E26" s="24" t="n">
        <x:v>3032</x:v>
      </x:c>
      <x:c r="F26" s="24" t="n">
        <x:v>85663</x:v>
      </x:c>
      <x:c r="G26" s="24" t="n">
        <x:v>93539</x:v>
      </x:c>
      <x:c r="H26" s="23" t="str">
        <x:v>Final</x:v>
      </x:c>
      <x:c r="I26" s="23" t="str">
        <x:f>IF(G26="","Tidak Tersedia",IF(G26&lt;=Batas_Kategori!$B$2,"Rendah",IF(G26&lt;=Batas_Kategori!$B$3,"Sedang","Tinggi")))</x:f>
        <x:v>Tinggi</x:v>
      </x:c>
    </x:row>
    <x:row r="27">
      <x:c r="A27" s="22" t="n">
        <x:v>2023</x:v>
      </x:c>
      <x:c r="B27" s="23" t="str">
        <x:v>Kota Palu</x:v>
      </x:c>
      <x:c r="C27" s="24" t="n">
        <x:v>40771</x:v>
      </x:c>
      <x:c r="D27" s="24" t="n">
        <x:v>787</x:v>
      </x:c>
      <x:c r="E27" s="24" t="n">
        <x:v>13339</x:v>
      </x:c>
      <x:c r="F27" s="24" t="n">
        <x:v>235796</x:v>
      </x:c>
      <x:c r="G27" s="24" t="n">
        <x:v>290693</x:v>
      </x:c>
      <x:c r="H27" s="23" t="str">
        <x:v>Final</x:v>
      </x:c>
      <x:c r="I27" s="23" t="str">
        <x:f>IF(G27="","Tidak Tersedia",IF(G27&lt;=Batas_Kategori!$B$2,"Rendah",IF(G27&lt;=Batas_Kategori!$B$3,"Sedang","Tinggi")))</x:f>
        <x:v>Tinggi</x:v>
      </x:c>
    </x:row>
    <x:row r="28">
      <x:c r="A28" s="22" t="n">
        <x:v>2024</x:v>
      </x:c>
      <x:c r="B28" s="23" t="str">
        <x:v>Banggai Kepulauan</x:v>
      </x:c>
      <x:c r="C28" s="24" t="n">
        <x:v>923</x:v>
      </x:c>
      <x:c r="D28" s="24" t="n">
        <x:v>10</x:v>
      </x:c>
      <x:c r="E28" s="24" t="n">
        <x:v>1545</x:v>
      </x:c>
      <x:c r="F28" s="24" t="n">
        <x:v>35513</x:v>
      </x:c>
      <x:c r="G28" s="24" t="n">
        <x:v>37991</x:v>
      </x:c>
      <x:c r="H28" s="23" t="str">
        <x:v>Final</x:v>
      </x:c>
      <x:c r="I28" s="23" t="str">
        <x:f>IF(G28="","Tidak Tersedia",IF(G28&lt;=Batas_Kategori!$B$2,"Rendah",IF(G28&lt;=Batas_Kategori!$B$3,"Sedang","Tinggi")))</x:f>
        <x:v>Sedang</x:v>
      </x:c>
    </x:row>
    <x:row r="29">
      <x:c r="A29" s="22" t="n">
        <x:v>2024</x:v>
      </x:c>
      <x:c r="B29" s="23" t="str">
        <x:v>Banggai</x:v>
      </x:c>
      <x:c r="C29" s="24" t="n">
        <x:v>7603</x:v>
      </x:c>
      <x:c r="D29" s="24" t="n">
        <x:v>159</x:v>
      </x:c>
      <x:c r="E29" s="24" t="n">
        <x:v>4734</x:v>
      </x:c>
      <x:c r="F29" s="24" t="n">
        <x:v>210931</x:v>
      </x:c>
      <x:c r="G29" s="24" t="n">
        <x:v>223427</x:v>
      </x:c>
      <x:c r="H29" s="23" t="str">
        <x:v>Final</x:v>
      </x:c>
      <x:c r="I29" s="23" t="str">
        <x:f>IF(G29="","Tidak Tersedia",IF(G29&lt;=Batas_Kategori!$B$2,"Rendah",IF(G29&lt;=Batas_Kategori!$B$3,"Sedang","Tinggi")))</x:f>
        <x:v>Tinggi</x:v>
      </x:c>
    </x:row>
    <x:row r="30">
      <x:c r="A30" s="22" t="n">
        <x:v>2024</x:v>
      </x:c>
      <x:c r="B30" s="23" t="str">
        <x:v>Morowali</x:v>
      </x:c>
      <x:c r="C30" s="24" t="n">
        <x:v>3770</x:v>
      </x:c>
      <x:c r="D30" s="24" t="n">
        <x:v>18</x:v>
      </x:c>
      <x:c r="E30" s="24" t="n">
        <x:v>1874</x:v>
      </x:c>
      <x:c r="F30" s="24" t="n">
        <x:v>29257</x:v>
      </x:c>
      <x:c r="G30" s="24" t="n">
        <x:v>34919</x:v>
      </x:c>
      <x:c r="H30" s="23" t="str">
        <x:v>Final</x:v>
      </x:c>
      <x:c r="I30" s="23" t="str">
        <x:f>IF(G30="","Tidak Tersedia",IF(G30&lt;=Batas_Kategori!$B$2,"Rendah",IF(G30&lt;=Batas_Kategori!$B$3,"Sedang","Tinggi")))</x:f>
        <x:v>Sedang</x:v>
      </x:c>
    </x:row>
    <x:row r="31">
      <x:c r="A31" s="22" t="n">
        <x:v>2024</x:v>
      </x:c>
      <x:c r="B31" s="23" t="str">
        <x:v>Poso</x:v>
      </x:c>
      <x:c r="C31" s="24" t="n">
        <x:v>4367</x:v>
      </x:c>
      <x:c r="D31" s="24" t="n">
        <x:v>14</x:v>
      </x:c>
      <x:c r="E31" s="24" t="n">
        <x:v>4257</x:v>
      </x:c>
      <x:c r="F31" s="24" t="n">
        <x:v>330230</x:v>
      </x:c>
      <x:c r="G31" s="24" t="n">
        <x:v>338868</x:v>
      </x:c>
      <x:c r="H31" s="23" t="str">
        <x:v>Final</x:v>
      </x:c>
      <x:c r="I31" s="23" t="str">
        <x:f>IF(G31="","Tidak Tersedia",IF(G31&lt;=Batas_Kategori!$B$2,"Rendah",IF(G31&lt;=Batas_Kategori!$B$3,"Sedang","Tinggi")))</x:f>
        <x:v>Tinggi</x:v>
      </x:c>
    </x:row>
    <x:row r="32">
      <x:c r="A32" s="22" t="n">
        <x:v>2024</x:v>
      </x:c>
      <x:c r="B32" s="23" t="str">
        <x:v>Donggala</x:v>
      </x:c>
      <x:c r="C32" s="24" t="n">
        <x:v>4367</x:v>
      </x:c>
      <x:c r="D32" s="24" t="n">
        <x:v>14</x:v>
      </x:c>
      <x:c r="E32" s="24" t="n">
        <x:v>4257</x:v>
      </x:c>
      <x:c r="F32" s="24" t="n">
        <x:v>330230</x:v>
      </x:c>
      <x:c r="G32" s="24" t="n">
        <x:v>338868</x:v>
      </x:c>
      <x:c r="H32" s="23" t="str">
        <x:v>Final</x:v>
      </x:c>
      <x:c r="I32" s="23" t="str">
        <x:f>IF(G32="","Tidak Tersedia",IF(G32&lt;=Batas_Kategori!$B$2,"Rendah",IF(G32&lt;=Batas_Kategori!$B$3,"Sedang","Tinggi")))</x:f>
        <x:v>Tinggi</x:v>
      </x:c>
    </x:row>
    <x:row r="33">
      <x:c r="A33" s="22" t="n">
        <x:v>2024</x:v>
      </x:c>
      <x:c r="B33" s="23" t="str">
        <x:v>Toli-Toli</x:v>
      </x:c>
      <x:c r="C33" s="24" t="n">
        <x:v>4547</x:v>
      </x:c>
      <x:c r="D33" s="24" t="n">
        <x:v>517</x:v>
      </x:c>
      <x:c r="E33" s="24" t="n">
        <x:v>2145</x:v>
      </x:c>
      <x:c r="F33" s="24" t="n">
        <x:v>176444</x:v>
      </x:c>
      <x:c r="G33" s="24" t="n">
        <x:v>183653</x:v>
      </x:c>
      <x:c r="H33" s="23" t="str">
        <x:v>Final</x:v>
      </x:c>
      <x:c r="I33" s="23" t="str">
        <x:f>IF(G33="","Tidak Tersedia",IF(G33&lt;=Batas_Kategori!$B$2,"Rendah",IF(G33&lt;=Batas_Kategori!$B$3,"Sedang","Tinggi")))</x:f>
        <x:v>Tinggi</x:v>
      </x:c>
    </x:row>
    <x:row r="34">
      <x:c r="A34" s="22" t="n">
        <x:v>2024</x:v>
      </x:c>
      <x:c r="B34" s="23" t="str">
        <x:v>Buol</x:v>
      </x:c>
      <x:c r="C34" s="24" t="n">
        <x:v>1830</x:v>
      </x:c>
      <x:c r="D34" s="24" t="n">
        <x:v>52</x:v>
      </x:c>
      <x:c r="E34" s="24" t="n">
        <x:v>1083</x:v>
      </x:c>
      <x:c r="F34" s="24" t="n">
        <x:v>49056</x:v>
      </x:c>
      <x:c r="G34" s="24" t="n">
        <x:v>52021</x:v>
      </x:c>
      <x:c r="H34" s="23" t="str">
        <x:v>Final</x:v>
      </x:c>
      <x:c r="I34" s="23" t="str">
        <x:f>IF(G34="","Tidak Tersedia",IF(G34&lt;=Batas_Kategori!$B$2,"Rendah",IF(G34&lt;=Batas_Kategori!$B$3,"Sedang","Tinggi")))</x:f>
        <x:v>Sedang</x:v>
      </x:c>
    </x:row>
    <x:row r="35">
      <x:c r="A35" s="22" t="n">
        <x:v>2024</x:v>
      </x:c>
      <x:c r="B35" s="23" t="str">
        <x:v>Parigi Moutong</x:v>
      </x:c>
      <x:c r="C35" s="24" t="n">
        <x:v>99</x:v>
      </x:c>
      <x:c r="D35" s="24"/>
      <x:c r="E35" s="24" t="n">
        <x:v>65</x:v>
      </x:c>
      <x:c r="F35" s="24" t="n">
        <x:v>1418</x:v>
      </x:c>
      <x:c r="G35" s="24" t="n">
        <x:v>1582</x:v>
      </x:c>
      <x:c r="H35" s="23" t="str">
        <x:v>Final</x:v>
      </x:c>
      <x:c r="I35" s="23" t="str">
        <x:f>IF(G35="","Tidak Tersedia",IF(G35&lt;=Batas_Kategori!$B$2,"Rendah",IF(G35&lt;=Batas_Kategori!$B$3,"Sedang","Tinggi")))</x:f>
        <x:v>Sedang</x:v>
      </x:c>
    </x:row>
    <x:row r="36">
      <x:c r="A36" s="22" t="n">
        <x:v>2024</x:v>
      </x:c>
      <x:c r="B36" s="23" t="str">
        <x:v>Tojo Una-Una</x:v>
      </x:c>
      <x:c r="C36" s="24" t="n">
        <x:v>2126</x:v>
      </x:c>
      <x:c r="D36" s="24" t="n">
        <x:v>90</x:v>
      </x:c>
      <x:c r="E36" s="24" t="n">
        <x:v>1428</x:v>
      </x:c>
      <x:c r="F36" s="24" t="n">
        <x:v>45517</x:v>
      </x:c>
      <x:c r="G36" s="24" t="n">
        <x:v>49161</x:v>
      </x:c>
      <x:c r="H36" s="23" t="str">
        <x:v>Final</x:v>
      </x:c>
      <x:c r="I36" s="23" t="str">
        <x:f>IF(G36="","Tidak Tersedia",IF(G36&lt;=Batas_Kategori!$B$2,"Rendah",IF(G36&lt;=Batas_Kategori!$B$3,"Sedang","Tinggi")))</x:f>
        <x:v>Sedang</x:v>
      </x:c>
    </x:row>
    <x:row r="37">
      <x:c r="A37" s="22" t="n">
        <x:v>2024</x:v>
      </x:c>
      <x:c r="B37" s="23" t="str">
        <x:v>Sigi</x:v>
      </x:c>
      <x:c r="C37" s="24" t="n">
        <x:v>58</x:v>
      </x:c>
      <x:c r="D37" s="24"/>
      <x:c r="E37" s="24" t="n">
        <x:v>32</x:v>
      </x:c>
      <x:c r="F37" s="24" t="n">
        <x:v>900</x:v>
      </x:c>
      <x:c r="G37" s="24" t="n">
        <x:v>990</x:v>
      </x:c>
      <x:c r="H37" s="23" t="str">
        <x:v>Final</x:v>
      </x:c>
      <x:c r="I37" s="23" t="str">
        <x:f>IF(G37="","Tidak Tersedia",IF(G37&lt;=Batas_Kategori!$B$2,"Rendah",IF(G37&lt;=Batas_Kategori!$B$3,"Sedang","Tinggi")))</x:f>
        <x:v>Sedang</x:v>
      </x:c>
    </x:row>
    <x:row r="38">
      <x:c r="A38" s="22" t="n">
        <x:v>2024</x:v>
      </x:c>
      <x:c r="B38" s="23" t="str">
        <x:v>Banggai Laut</x:v>
      </x:c>
      <x:c r="C38" s="24"/>
      <x:c r="D38" s="24"/>
      <x:c r="E38" s="24"/>
      <x:c r="F38" s="24"/>
      <x:c r="G38" s="24"/>
      <x:c r="H38" s="23" t="str">
        <x:v>Final</x:v>
      </x:c>
      <x:c r="I38" s="23" t="str">
        <x:f>IF(G38="","Tidak Tersedia",IF(G38&lt;=Batas_Kategori!$B$2,"Rendah",IF(G38&lt;=Batas_Kategori!$B$3,"Sedang","Tinggi")))</x:f>
        <x:v>Tidak Tersedia</x:v>
      </x:c>
    </x:row>
    <x:row r="39">
      <x:c r="A39" s="22" t="n">
        <x:v>2024</x:v>
      </x:c>
      <x:c r="B39" s="23" t="str">
        <x:v>Morowali Utara</x:v>
      </x:c>
      <x:c r="C39" s="24" t="n">
        <x:v>5321</x:v>
      </x:c>
      <x:c r="D39" s="24" t="n">
        <x:v>60</x:v>
      </x:c>
      <x:c r="E39" s="24" t="n">
        <x:v>3267</x:v>
      </x:c>
      <x:c r="F39" s="24" t="n">
        <x:v>90567</x:v>
      </x:c>
      <x:c r="G39" s="24" t="n">
        <x:v>99215</x:v>
      </x:c>
      <x:c r="H39" s="23" t="str">
        <x:v>Final</x:v>
      </x:c>
      <x:c r="I39" s="23" t="str">
        <x:f>IF(G39="","Tidak Tersedia",IF(G39&lt;=Batas_Kategori!$B$2,"Rendah",IF(G39&lt;=Batas_Kategori!$B$3,"Sedang","Tinggi")))</x:f>
        <x:v>Tinggi</x:v>
      </x:c>
    </x:row>
    <x:row r="40">
      <x:c r="A40" s="22" t="n">
        <x:v>2024</x:v>
      </x:c>
      <x:c r="B40" s="23" t="str">
        <x:v>Kota Palu</x:v>
      </x:c>
      <x:c r="C40" s="24" t="n">
        <x:v>51177</x:v>
      </x:c>
      <x:c r="D40" s="24" t="n">
        <x:v>950</x:v>
      </x:c>
      <x:c r="E40" s="24" t="n">
        <x:v>15240</x:v>
      </x:c>
      <x:c r="F40" s="24" t="n">
        <x:v>256707</x:v>
      </x:c>
      <x:c r="G40" s="24" t="n">
        <x:v>324074</x:v>
      </x:c>
      <x:c r="H40" s="23" t="str">
        <x:v>Final</x:v>
      </x:c>
      <x:c r="I40" s="23" t="str">
        <x:f>IF(G40="","Tidak Tersedia",IF(G40&lt;=Batas_Kategori!$B$2,"Rendah",IF(G40&lt;=Batas_Kategori!$B$3,"Sedang","Tinggi")))</x:f>
        <x:v>Tinggi</x:v>
      </x:c>
    </x:row>
    <x:row r="41">
      <x:c r="A41" s="22" t="n">
        <x:v>2025</x:v>
      </x:c>
      <x:c r="B41" s="23" t="str">
        <x:v>Banggai Kepulauan</x:v>
      </x:c>
      <x:c r="C41" s="24" t="n">
        <x:v>1</x:v>
      </x:c>
      <x:c r="D41" s="24" t="n">
        <x:v>20</x:v>
      </x:c>
      <x:c r="E41" s="24" t="n">
        <x:v>2</x:v>
      </x:c>
      <x:c r="F41" s="24" t="n">
        <x:v>29</x:v>
      </x:c>
      <x:c r="G41" s="24" t="n">
        <x:v>33</x:v>
      </x:c>
      <x:c r="H41" s="23" t="str">
        <x:v>Sementara</x:v>
      </x:c>
      <x:c r="I41" s="23" t="str">
        <x:f>IF(G41="","Tidak Tersedia",IF(G41&lt;=Batas_Kategori!$B$2,"Rendah",IF(G41&lt;=Batas_Kategori!$B$3,"Sedang","Tinggi")))</x:f>
        <x:v>Rendah</x:v>
      </x:c>
    </x:row>
    <x:row r="42">
      <x:c r="A42" s="22" t="n">
        <x:v>2025</x:v>
      </x:c>
      <x:c r="B42" s="23" t="str">
        <x:v>Banggai</x:v>
      </x:c>
      <x:c r="C42" s="24" t="n">
        <x:v>13</x:v>
      </x:c>
      <x:c r="D42" s="24" t="n">
        <x:v>94</x:v>
      </x:c>
      <x:c r="E42" s="24" t="n">
        <x:v>8</x:v>
      </x:c>
      <x:c r="F42" s="24" t="n">
        <x:v>144</x:v>
      </x:c>
      <x:c r="G42" s="24" t="n">
        <x:v>164</x:v>
      </x:c>
      <x:c r="H42" s="23" t="str">
        <x:v>Sementara</x:v>
      </x:c>
      <x:c r="I42" s="23" t="str">
        <x:f>IF(G42="","Tidak Tersedia",IF(G42&lt;=Batas_Kategori!$B$2,"Rendah",IF(G42&lt;=Batas_Kategori!$B$3,"Sedang","Tinggi")))</x:f>
        <x:v>Rendah</x:v>
      </x:c>
    </x:row>
    <x:row r="43">
      <x:c r="A43" s="22" t="n">
        <x:v>2025</x:v>
      </x:c>
      <x:c r="B43" s="23" t="str">
        <x:v>Morowali</x:v>
      </x:c>
      <x:c r="C43" s="24" t="n">
        <x:v>7</x:v>
      </x:c>
      <x:c r="D43" s="24" t="n">
        <x:v>111</x:v>
      </x:c>
      <x:c r="E43" s="24" t="n">
        <x:v>4</x:v>
      </x:c>
      <x:c r="F43" s="24" t="n">
        <x:v>66</x:v>
      </x:c>
      <x:c r="G43" s="24" t="n">
        <x:v>77</x:v>
      </x:c>
      <x:c r="H43" s="23" t="str">
        <x:v>Sementara</x:v>
      </x:c>
      <x:c r="I43" s="23" t="str">
        <x:f>IF(G43="","Tidak Tersedia",IF(G43&lt;=Batas_Kategori!$B$2,"Rendah",IF(G43&lt;=Batas_Kategori!$B$3,"Sedang","Tinggi")))</x:f>
        <x:v>Rendah</x:v>
      </x:c>
    </x:row>
    <x:row r="44">
      <x:c r="A44" s="22" t="n">
        <x:v>2025</x:v>
      </x:c>
      <x:c r="B44" s="23" t="str">
        <x:v>Poso</x:v>
      </x:c>
      <x:c r="C44" s="24" t="n">
        <x:v>8</x:v>
      </x:c>
      <x:c r="D44" s="24" t="n">
        <x:v>40</x:v>
      </x:c>
      <x:c r="E44" s="24" t="n">
        <x:v>4</x:v>
      </x:c>
      <x:c r="F44" s="24" t="n">
        <x:v>80</x:v>
      </x:c>
      <x:c r="G44" s="24" t="n">
        <x:v>92</x:v>
      </x:c>
      <x:c r="H44" s="23" t="str">
        <x:v>Sementara</x:v>
      </x:c>
      <x:c r="I44" s="23" t="str">
        <x:f>IF(G44="","Tidak Tersedia",IF(G44&lt;=Batas_Kategori!$B$2,"Rendah",IF(G44&lt;=Batas_Kategori!$B$3,"Sedang","Tinggi")))</x:f>
        <x:v>Rendah</x:v>
      </x:c>
    </x:row>
    <x:row r="45">
      <x:c r="A45" s="22" t="n">
        <x:v>2025</x:v>
      </x:c>
      <x:c r="B45" s="23" t="str">
        <x:v>Donggala</x:v>
      </x:c>
      <x:c r="C45" s="24" t="n">
        <x:v>5</x:v>
      </x:c>
      <x:c r="D45" s="24" t="n">
        <x:v>37</x:v>
      </x:c>
      <x:c r="E45" s="24" t="n">
        <x:v>4</x:v>
      </x:c>
      <x:c r="F45" s="24" t="n">
        <x:v>91</x:v>
      </x:c>
      <x:c r="G45" s="24" t="n">
        <x:v>99</x:v>
      </x:c>
      <x:c r="H45" s="23" t="str">
        <x:v>Sementara</x:v>
      </x:c>
      <x:c r="I45" s="23" t="str">
        <x:f>IF(G45="","Tidak Tersedia",IF(G45&lt;=Batas_Kategori!$B$2,"Rendah",IF(G45&lt;=Batas_Kategori!$B$3,"Sedang","Tinggi")))</x:f>
        <x:v>Rendah</x:v>
      </x:c>
    </x:row>
    <x:row r="46">
      <x:c r="A46" s="22" t="n">
        <x:v>2025</x:v>
      </x:c>
      <x:c r="B46" s="23" t="str">
        <x:v>Toli-Toli</x:v>
      </x:c>
      <x:c r="C46" s="24" t="n">
        <x:v>5</x:v>
      </x:c>
      <x:c r="D46" s="24" t="n">
        <x:v>18</x:v>
      </x:c>
      <x:c r="E46" s="24" t="n">
        <x:v>3</x:v>
      </x:c>
      <x:c r="F46" s="24" t="n">
        <x:v>70</x:v>
      </x:c>
      <x:c r="G46" s="24" t="n">
        <x:v>78</x:v>
      </x:c>
      <x:c r="H46" s="23" t="str">
        <x:v>Sementara</x:v>
      </x:c>
      <x:c r="I46" s="23" t="str">
        <x:f>IF(G46="","Tidak Tersedia",IF(G46&lt;=Batas_Kategori!$B$2,"Rendah",IF(G46&lt;=Batas_Kategori!$B$3,"Sedang","Tinggi")))</x:f>
        <x:v>Rendah</x:v>
      </x:c>
    </x:row>
    <x:row r="47">
      <x:c r="A47" s="22" t="n">
        <x:v>2025</x:v>
      </x:c>
      <x:c r="B47" s="23" t="str">
        <x:v>Buol</x:v>
      </x:c>
      <x:c r="C47" s="24" t="n">
        <x:v>2</x:v>
      </x:c>
      <x:c r="D47" s="24" t="n">
        <x:v>23</x:v>
      </x:c>
      <x:c r="E47" s="24" t="n">
        <x:v>887</x:v>
      </x:c>
      <x:c r="F47" s="24" t="n">
        <x:v>36</x:v>
      </x:c>
      <x:c r="G47" s="24" t="n">
        <x:v>38</x:v>
      </x:c>
      <x:c r="H47" s="23" t="str">
        <x:v>Sementara</x:v>
      </x:c>
      <x:c r="I47" s="23" t="str">
        <x:f>IF(G47="","Tidak Tersedia",IF(G47&lt;=Batas_Kategori!$B$2,"Rendah",IF(G47&lt;=Batas_Kategori!$B$3,"Sedang","Tinggi")))</x:f>
        <x:v>Rendah</x:v>
      </x:c>
    </x:row>
    <x:row r="48">
      <x:c r="A48" s="22" t="n">
        <x:v>2025</x:v>
      </x:c>
      <x:c r="B48" s="23" t="str">
        <x:v>Parigi Moutong</x:v>
      </x:c>
      <x:c r="C48" s="24" t="n">
        <x:v>9</x:v>
      </x:c>
      <x:c r="D48" s="24" t="n">
        <x:v>22</x:v>
      </x:c>
      <x:c r="E48" s="24" t="n">
        <x:v>7</x:v>
      </x:c>
      <x:c r="F48" s="24" t="n">
        <x:v>130</x:v>
      </x:c>
      <x:c r="G48" s="24" t="n">
        <x:v>146</x:v>
      </x:c>
      <x:c r="H48" s="23" t="str">
        <x:v>Sementara</x:v>
      </x:c>
      <x:c r="I48" s="23" t="str">
        <x:f>IF(G48="","Tidak Tersedia",IF(G48&lt;=Batas_Kategori!$B$2,"Rendah",IF(G48&lt;=Batas_Kategori!$B$3,"Sedang","Tinggi")))</x:f>
        <x:v>Rendah</x:v>
      </x:c>
    </x:row>
    <x:row r="49">
      <x:c r="A49" s="22" t="n">
        <x:v>2025</x:v>
      </x:c>
      <x:c r="B49" s="23" t="str">
        <x:v>Tojo Una-Una</x:v>
      </x:c>
      <x:c r="C49" s="24" t="n">
        <x:v>3</x:v>
      </x:c>
      <x:c r="D49" s="24" t="n">
        <x:v>33</x:v>
      </x:c>
      <x:c r="E49" s="24" t="n">
        <x:v>2</x:v>
      </x:c>
      <x:c r="F49" s="24" t="n">
        <x:v>44</x:v>
      </x:c>
      <x:c r="G49" s="24" t="n">
        <x:v>49</x:v>
      </x:c>
      <x:c r="H49" s="23" t="str">
        <x:v>Sementara</x:v>
      </x:c>
      <x:c r="I49" s="23" t="str">
        <x:f>IF(G49="","Tidak Tersedia",IF(G49&lt;=Batas_Kategori!$B$2,"Rendah",IF(G49&lt;=Batas_Kategori!$B$3,"Sedang","Tinggi")))</x:f>
        <x:v>Rendah</x:v>
      </x:c>
    </x:row>
    <x:row r="50">
      <x:c r="A50" s="22" t="n">
        <x:v>2025</x:v>
      </x:c>
      <x:c r="B50" s="23" t="str">
        <x:v>Sigi</x:v>
      </x:c>
      <x:c r="C50" s="24" t="n">
        <x:v>6</x:v>
      </x:c>
      <x:c r="D50" s="24" t="n">
        <x:v>14</x:v>
      </x:c>
      <x:c r="E50" s="24" t="n">
        <x:v>3</x:v>
      </x:c>
      <x:c r="F50" s="24" t="n">
        <x:v>93</x:v>
      </x:c>
      <x:c r="G50" s="24" t="n">
        <x:v>102</x:v>
      </x:c>
      <x:c r="H50" s="23" t="str">
        <x:v>Sementara</x:v>
      </x:c>
      <x:c r="I50" s="23" t="str">
        <x:f>IF(G50="","Tidak Tersedia",IF(G50&lt;=Batas_Kategori!$B$2,"Rendah",IF(G50&lt;=Batas_Kategori!$B$3,"Sedang","Tinggi")))</x:f>
        <x:v>Rendah</x:v>
      </x:c>
    </x:row>
    <x:row r="51">
      <x:c r="A51" s="22" t="n">
        <x:v>2025</x:v>
      </x:c>
      <x:c r="B51" s="23" t="str">
        <x:v>Banggai Laut</x:v>
      </x:c>
      <x:c r="C51" s="24" t="n">
        <x:v>154</x:v>
      </x:c>
      <x:c r="D51" s="24" t="n">
        <x:v>3</x:v>
      </x:c>
      <x:c r="E51" s="24" t="n">
        <x:v>167</x:v>
      </x:c>
      <x:c r="F51" s="24" t="n">
        <x:v>6</x:v>
      </x:c>
      <x:c r="G51" s="24" t="n">
        <x:v>6</x:v>
      </x:c>
      <x:c r="H51" s="23" t="str">
        <x:v>Sementara</x:v>
      </x:c>
      <x:c r="I51" s="23" t="str">
        <x:f>IF(G51="","Tidak Tersedia",IF(G51&lt;=Batas_Kategori!$B$2,"Rendah",IF(G51&lt;=Batas_Kategori!$B$3,"Sedang","Tinggi")))</x:f>
        <x:v>Rendah</x:v>
      </x:c>
    </x:row>
    <x:row r="52">
      <x:c r="A52" s="22" t="n">
        <x:v>2025</x:v>
      </x:c>
      <x:c r="B52" s="23" t="str">
        <x:v>Morowali Utara</x:v>
      </x:c>
      <x:c r="C52" s="24" t="n">
        <x:v>4</x:v>
      </x:c>
      <x:c r="D52" s="24" t="n">
        <x:v>24</x:v>
      </x:c>
      <x:c r="E52" s="24" t="n">
        <x:v>2</x:v>
      </x:c>
      <x:c r="F52" s="24" t="n">
        <x:v>45</x:v>
      </x:c>
      <x:c r="G52" s="24" t="n">
        <x:v>51</x:v>
      </x:c>
      <x:c r="H52" s="23" t="str">
        <x:v>Sementara</x:v>
      </x:c>
      <x:c r="I52" s="23" t="str">
        <x:f>IF(G52="","Tidak Tersedia",IF(G52&lt;=Batas_Kategori!$B$2,"Rendah",IF(G52&lt;=Batas_Kategori!$B$3,"Sedang","Tinggi")))</x:f>
        <x:v>Rendah</x:v>
      </x:c>
    </x:row>
    <x:row r="53">
      <x:c r="A53" s="22" t="n">
        <x:v>2025</x:v>
      </x:c>
      <x:c r="B53" s="23" t="str">
        <x:v>Kota Palu</x:v>
      </x:c>
      <x:c r="C53" s="24" t="n">
        <x:v>65</x:v>
      </x:c>
      <x:c r="D53" s="24" t="n">
        <x:v>775</x:v>
      </x:c>
      <x:c r="E53" s="24" t="n">
        <x:v>29</x:v>
      </x:c>
      <x:c r="F53" s="24" t="n">
        <x:v>636</x:v>
      </x:c>
      <x:c r="G53" s="24" t="n">
        <x:v>730</x:v>
      </x:c>
      <x:c r="H53" s="23" t="str">
        <x:v>Sementara</x:v>
      </x:c>
      <x:c r="I53" s="23" t="str">
        <x:f>IF(G53="","Tidak Tersedia",IF(G53&lt;=Batas_Kategori!$B$2,"Rendah",IF(G53&lt;=Batas_Kategori!$B$3,"Sedang","Tinggi")))</x:f>
        <x:v>Sedang</x:v>
      </x:c>
    </x:row>
  </x:sheetData>
  <x:conditionalFormatting sqref="I2:I53">
    <x:cfRule type="expression" dxfId="0" priority="1">
      <x:formula>I2="Tidak Tersedia"</x:formula>
    </x:cfRule>
  </x:conditionalFormatting>
  <x:conditionalFormatting sqref="H2:H53">
    <x:cfRule type="expression" dxfId="1" priority="2">
      <x:formula>H2="Sementara"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8fb4248cae47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52" hidden="0" customWidth="1"/>
    <x:col min="4" max="4" width="14" hidden="0" customWidth="1"/>
    <x:col min="6" max="6" width="30" hidden="0" customWidth="1"/>
    <x:col min="7" max="7" width="54" hidden="0" customWidth="1"/>
  </x:cols>
  <x:sheetData>
    <x:row r="1">
      <x:c r="A1" s="6" t="str">
        <x:v>Kategori</x:v>
      </x:c>
      <x:c r="B1" s="6" t="str">
        <x:v>Batas Jumlah Kendaraan (unit)</x:v>
      </x:c>
      <x:c r="C1" s="6" t="str">
        <x:v>Aturan</x:v>
      </x:c>
      <x:c r="D1" s="6" t="str">
        <x:v>Jumlah Data</x:v>
      </x:c>
      <x:c r="E1" s="6"/>
      <x:c r="F1" s="6" t="str">
        <x:v>Keterangan</x:v>
      </x:c>
      <x:c r="G1" s="6" t="str">
        <x:v>Nilai</x:v>
      </x:c>
    </x:row>
    <x:row r="2">
      <x:c r="A2" s="23" t="str">
        <x:v>Rendah</x:v>
      </x:c>
      <x:c r="B2" s="24" t="n">
        <x:f>PERCENTILE.INC(Dataset_Model!$G$2:$G$53,0.3333)</x:f>
        <x:v>729.88</x:v>
      </x:c>
      <x:c r="C2" s="23" t="str">
        <x:v>jumlah_kendaraan &lt;= batas 33,33%</x:v>
      </x:c>
      <x:c r="D2" s="22" t="n">
        <x:f>COUNTIF(Dataset_Model!$I$2:$I$53,A2)</x:f>
        <x:v>15</x:v>
      </x:c>
      <x:c r="E2" s="23"/>
      <x:c r="F2" s="23" t="str">
        <x:v>Jumlah baris data</x:v>
      </x:c>
      <x:c r="G2" s="22" t="n">
        <x:f>COUNTA(Dataset_Model!$A$2:$A$53)</x:f>
        <x:v>52</x:v>
      </x:c>
    </x:row>
    <x:row r="3">
      <x:c r="A3" s="23" t="str">
        <x:v>Sedang</x:v>
      </x:c>
      <x:c r="B3" s="24" t="n">
        <x:f>PERCENTILE.INC(Dataset_Model!$G$2:$G$53,0.6667)</x:f>
        <x:v>52074.792999999874</x:v>
      </x:c>
      <x:c r="C3" s="23" t="str">
        <x:v>batas 33,33% &lt; jumlah_kendaraan &lt;= batas 66,67%</x:v>
      </x:c>
      <x:c r="D3" s="22" t="n">
        <x:f>COUNTIF(Dataset_Model!$I$2:$I$53,A3)</x:f>
        <x:v>16</x:v>
      </x:c>
      <x:c r="E3" s="23"/>
      <x:c r="F3" s="23" t="str">
        <x:v>Jumlah data tersedia</x:v>
      </x:c>
      <x:c r="G3" s="22" t="n">
        <x:f>COUNT(Dataset_Model!$G$2:$G$53)</x:f>
        <x:v>46</x:v>
      </x:c>
    </x:row>
    <x:row r="4">
      <x:c r="A4" s="23" t="str">
        <x:v>Tinggi</x:v>
      </x:c>
      <x:c r="B4" s="23"/>
      <x:c r="C4" s="23" t="str">
        <x:v>jumlah_kendaraan &gt; batas 66,67%</x:v>
      </x:c>
      <x:c r="D4" s="22" t="n">
        <x:f>COUNTIF(Dataset_Model!$I$2:$I$53,A4)</x:f>
        <x:v>15</x:v>
      </x:c>
      <x:c r="E4" s="23"/>
      <x:c r="F4" s="23" t="str">
        <x:v>Tahun awal</x:v>
      </x:c>
      <x:c r="G4" s="22" t="n">
        <x:f>MIN(Dataset_Model!$A$2:$A$53)</x:f>
        <x:v>2022</x:v>
      </x:c>
    </x:row>
    <x:row r="5">
      <x:c r="A5" s="23" t="str">
        <x:v>Tidak Tersedia</x:v>
      </x:c>
      <x:c r="B5" s="23"/>
      <x:c r="C5" s="23" t="str">
        <x:v>jumlah_kendaraan kosong karena data sumber berisi tanda ...</x:v>
      </x:c>
      <x:c r="D5" s="22" t="n">
        <x:f>COUNTIF(Dataset_Model!$I$2:$I$53,A5)</x:f>
        <x:v>6</x:v>
      </x:c>
      <x:c r="E5" s="23"/>
      <x:c r="F5" s="23" t="str">
        <x:v>Tahun akhir</x:v>
      </x:c>
      <x:c r="G5" s="22" t="n">
        <x:f>MAX(Dataset_Model!$A$2:$A$53)</x:f>
        <x:v>2025</x:v>
      </x:c>
    </x:row>
    <x:row r="6">
      <x:c r="A6" s="23"/>
      <x:c r="B6" s="23"/>
      <x:c r="C6" s="23"/>
      <x:c r="D6" s="23"/>
      <x:c r="E6" s="23"/>
      <x:c r="F6" s="23" t="str">
        <x:v>Jumlah kabupaten/kota</x:v>
      </x:c>
      <x:c r="G6" s="22" t="n">
        <x:f>COUNTA(UNIQUE(Dataset_Model!$B$2:$B$53))</x:f>
        <x:v>13</x:v>
      </x:c>
    </x:row>
    <x:row r="7">
      <x:c r="A7" s="23"/>
      <x:c r="B7" s="23"/>
      <x:c r="C7" s="23"/>
      <x:c r="D7" s="23"/>
      <x:c r="E7" s="23"/>
      <x:c r="F7" s="23" t="str">
        <x:v>Metode batas</x:v>
      </x:c>
      <x:c r="G7" s="23" t="str">
        <x:v>PERCENTILE.INC 33,33% dan 66,67%</x:v>
      </x:c>
    </x:row>
    <x:row r="8">
      <x:c r="A8" s="23"/>
      <x:c r="B8" s="23"/>
      <x:c r="C8" s="23"/>
      <x:c r="D8" s="23"/>
      <x:c r="E8" s="23"/>
      <x:c r="F8" s="23" t="str">
        <x:v>Kolom target SVC</x:v>
      </x:c>
      <x:c r="G8" s="23" t="str">
        <x:v>kategori_jumlah_kendaraan</x:v>
      </x:c>
    </x:row>
    <x:row r="9">
      <x:c r="A9" s="23"/>
      <x:c r="B9" s="23"/>
      <x:c r="C9" s="23"/>
      <x:c r="D9" s="23"/>
      <x:c r="E9" s="23"/>
      <x:c r="F9" s="23" t="str">
        <x:v>Catatan 2025</x:v>
      </x:c>
      <x:c r="G9" s="23" t="str">
        <x:v>Data 2025 bersifat sementara sesuai keterangan pengguna/BPS</x:v>
      </x:c>
    </x:row>
    <x:row r="10">
      <x:c r="A10" s="23"/>
      <x:c r="B10" s="23"/>
      <x:c r="C10" s="23"/>
      <x:c r="D10" s="23"/>
      <x:c r="E10" s="23"/>
      <x:c r="F10" s="23" t="str">
        <x:v>Baris Provinsi Sulawesi Tengah</x:v>
      </x:c>
      <x:c r="G10" s="23" t="str">
        <x:v>Tidak dimasukkan karena merupakan total provinsi, bukan kabupaten/kota</x:v>
      </x:c>
    </x:row>
  </x:sheetData>
  <x:pageMargins left="0.7" right="0.7" top="0.75" bottom="0.75" header="0.3" footer="0.3"/>
  <x:tableParts count="1">
    <x:tablePart xmlns:r="http://schemas.openxmlformats.org/officeDocument/2006/relationships" r:id="Re093bccdc94b4fc9"/>
  </x:tableParts>
</x:worksheet>
</file>